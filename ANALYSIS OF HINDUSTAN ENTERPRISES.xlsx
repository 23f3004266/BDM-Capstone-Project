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  <sheet state="visible" name="Inventory" sheetId="2" r:id="rId6"/>
    <sheet state="visible" name="PL" sheetId="3" r:id="rId7"/>
    <sheet state="visible" name="PL Insights" sheetId="4" r:id="rId8"/>
  </sheets>
  <definedNames>
    <definedName name="NamedRange1">Sales!$A$33:$E$44</definedName>
  </definedNames>
  <calcPr/>
</workbook>
</file>

<file path=xl/sharedStrings.xml><?xml version="1.0" encoding="utf-8"?>
<sst xmlns="http://schemas.openxmlformats.org/spreadsheetml/2006/main" count="153" uniqueCount="63">
  <si>
    <t>SALES(QUANTITY)</t>
  </si>
  <si>
    <t>REVENUE</t>
  </si>
  <si>
    <t>DATE</t>
  </si>
  <si>
    <t>CHAIR KING</t>
  </si>
  <si>
    <t>TABLE MAGNA</t>
  </si>
  <si>
    <t>CHAIR MICKY MOUSE</t>
  </si>
  <si>
    <t>CHAIR SUNRISE</t>
  </si>
  <si>
    <t>CHAIR FORTUNER</t>
  </si>
  <si>
    <t>CHAIR SAFARI</t>
  </si>
  <si>
    <t>CHAIR DOLLAR</t>
  </si>
  <si>
    <t>STOOL JUPITER</t>
  </si>
  <si>
    <t>CHAIR SIGMA</t>
  </si>
  <si>
    <t>CHAIR CRYSTA</t>
  </si>
  <si>
    <t>TOTAL SALES</t>
  </si>
  <si>
    <t>TOTAL REVENUE</t>
  </si>
  <si>
    <t>TOTAL</t>
  </si>
  <si>
    <t>Standard Deviation</t>
  </si>
  <si>
    <t>Average Daily Sales</t>
  </si>
  <si>
    <t>Maximum Sale</t>
  </si>
  <si>
    <t>Minimum Sale</t>
  </si>
  <si>
    <t>Purchasing Dates</t>
  </si>
  <si>
    <t>SKU</t>
  </si>
  <si>
    <t xml:space="preserve">Initial Inventory </t>
  </si>
  <si>
    <t>End Inventory</t>
  </si>
  <si>
    <t>Average Inventory</t>
  </si>
  <si>
    <t>Average Sales</t>
  </si>
  <si>
    <t>COST PRICE</t>
  </si>
  <si>
    <t>SELLING PRICE</t>
  </si>
  <si>
    <t>PROFIT</t>
  </si>
  <si>
    <t>PROFIT %</t>
  </si>
  <si>
    <t>TOTAL COST</t>
  </si>
  <si>
    <t>PROFIT % OF TOTAL</t>
  </si>
  <si>
    <t>CUMULATIVE PROFIT %</t>
  </si>
  <si>
    <t>% OF TOTAL REVENUE</t>
  </si>
  <si>
    <t xml:space="preserve">TOTAL </t>
  </si>
  <si>
    <t>PRODUCT</t>
  </si>
  <si>
    <t>CUMULATIVE %</t>
  </si>
  <si>
    <t>Class A</t>
  </si>
  <si>
    <t>Class B</t>
  </si>
  <si>
    <t>Class C</t>
  </si>
  <si>
    <t>Fixed Cost Analysis</t>
  </si>
  <si>
    <t>Salaries</t>
  </si>
  <si>
    <t>COST</t>
  </si>
  <si>
    <t>ELECTRICITY</t>
  </si>
  <si>
    <t>Staff 1</t>
  </si>
  <si>
    <t>Staff 2</t>
  </si>
  <si>
    <t>Unloading</t>
  </si>
  <si>
    <t>Staff 3</t>
  </si>
  <si>
    <t>TOTAL FIXED COST</t>
  </si>
  <si>
    <t>Owner</t>
  </si>
  <si>
    <t>TOTAL SALARIES</t>
  </si>
  <si>
    <t>BALENCE SHEET</t>
  </si>
  <si>
    <t>VARIABLES</t>
  </si>
  <si>
    <t>VALUE</t>
  </si>
  <si>
    <t>REMARK</t>
  </si>
  <si>
    <t>FARELY GOOD</t>
  </si>
  <si>
    <t>GROSS PROFIT</t>
  </si>
  <si>
    <t>NORMALISED FIXED COSTS</t>
  </si>
  <si>
    <t>MAJORLY FROM MONTHLY FIXED EXPENSES</t>
  </si>
  <si>
    <t>NET PROFIT</t>
  </si>
  <si>
    <t>GROSS PROFIT RATIO</t>
  </si>
  <si>
    <t>NET PROFIT RATIO</t>
  </si>
  <si>
    <t>FARELY GOOD FOR A WHOLESALE STORE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</si>
</sst>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-&quot;mm&quot;-&quot;yy"/>
    <numFmt numFmtId="165" formatCode="[$₹]#,##0"/>
    <numFmt numFmtId="166" formatCode="dd&quot;-&quot;m&quot;-&quot;yy"/>
    <numFmt numFmtId="167" formatCode="[$₹]#,##0.00"/>
  </numFmts>
  <fonts count="9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2.0"/>
      <color rgb="FF000000"/>
      <name val="Arial"/>
    </font>
    <font/>
  </fonts>
  <fills count="1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0" fillId="2" fontId="2" numFmtId="0" xfId="0" applyAlignment="1" applyFont="1">
      <alignment horizontal="center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3" fontId="2" numFmtId="0" xfId="0" applyAlignment="1" applyFill="1" applyFont="1">
      <alignment horizontal="center" readingOrder="0" shrinkToFit="0" vertical="bottom" wrapText="0"/>
    </xf>
    <xf borderId="0" fillId="3" fontId="2" numFmtId="164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4" fontId="1" numFmtId="0" xfId="0" applyAlignment="1" applyFill="1" applyFont="1">
      <alignment horizontal="center" readingOrder="0" shrinkToFit="0" vertical="bottom" wrapText="0"/>
    </xf>
    <xf borderId="0" fillId="0" fontId="3" numFmtId="165" xfId="0" applyAlignment="1" applyFont="1" applyNumberFormat="1">
      <alignment horizontal="center"/>
    </xf>
    <xf borderId="0" fillId="4" fontId="1" numFmtId="165" xfId="0" applyAlignment="1" applyFont="1" applyNumberFormat="1">
      <alignment horizontal="center" readingOrder="0" shrinkToFit="0" vertical="bottom" wrapText="0"/>
    </xf>
    <xf borderId="0" fillId="3" fontId="2" numFmtId="166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5" fontId="1" numFmtId="0" xfId="0" applyAlignment="1" applyFill="1" applyFont="1">
      <alignment horizontal="center" readingOrder="0" shrinkToFit="0" vertical="bottom" wrapText="0"/>
    </xf>
    <xf borderId="0" fillId="6" fontId="1" numFmtId="0" xfId="0" applyAlignment="1" applyFill="1" applyFont="1">
      <alignment horizontal="center" readingOrder="0" shrinkToFit="0" vertical="bottom" wrapText="0"/>
    </xf>
    <xf borderId="0" fillId="5" fontId="1" numFmtId="165" xfId="0" applyAlignment="1" applyFont="1" applyNumberFormat="1">
      <alignment horizontal="center" readingOrder="0" shrinkToFit="0" vertical="bottom" wrapText="0"/>
    </xf>
    <xf borderId="0" fillId="6" fontId="2" numFmtId="167" xfId="0" applyAlignment="1" applyFont="1" applyNumberFormat="1">
      <alignment horizontal="center" readingOrder="0" shrinkToFit="0" vertical="bottom" wrapText="0"/>
    </xf>
    <xf borderId="0" fillId="3" fontId="4" numFmtId="0" xfId="0" applyAlignment="1" applyFont="1">
      <alignment readingOrder="0"/>
    </xf>
    <xf borderId="0" fillId="2" fontId="3" numFmtId="165" xfId="0" applyFont="1" applyNumberFormat="1"/>
    <xf borderId="0" fillId="0" fontId="3" numFmtId="165" xfId="0" applyAlignment="1" applyFont="1" applyNumberFormat="1">
      <alignment readingOrder="0"/>
    </xf>
    <xf borderId="0" fillId="7" fontId="4" numFmtId="0" xfId="0" applyAlignment="1" applyFill="1" applyFont="1">
      <alignment horizontal="center" readingOrder="0"/>
    </xf>
    <xf borderId="0" fillId="3" fontId="2" numFmtId="167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" xfId="0" applyFont="1" applyNumberFormat="1"/>
    <xf borderId="0" fillId="2" fontId="2" numFmtId="167" xfId="0" applyAlignment="1" applyFont="1" applyNumberFormat="1">
      <alignment horizontal="center" readingOrder="0" shrinkToFit="0" vertical="bottom" wrapText="0"/>
    </xf>
    <xf borderId="0" fillId="0" fontId="3" numFmtId="167" xfId="0" applyAlignment="1" applyFont="1" applyNumberFormat="1">
      <alignment readingOrder="0"/>
    </xf>
    <xf borderId="0" fillId="0" fontId="3" numFmtId="165" xfId="0" applyFont="1" applyNumberFormat="1"/>
    <xf borderId="0" fillId="0" fontId="3" numFmtId="10" xfId="0" applyFont="1" applyNumberFormat="1"/>
    <xf borderId="0" fillId="3" fontId="4" numFmtId="167" xfId="0" applyAlignment="1" applyFont="1" applyNumberFormat="1">
      <alignment horizontal="center" readingOrder="0"/>
    </xf>
    <xf borderId="0" fillId="2" fontId="4" numFmtId="167" xfId="0" applyAlignment="1" applyFont="1" applyNumberFormat="1">
      <alignment readingOrder="0"/>
    </xf>
    <xf borderId="0" fillId="2" fontId="2" numFmtId="167" xfId="0" applyAlignment="1" applyFont="1" applyNumberFormat="1">
      <alignment readingOrder="0" vertical="bottom"/>
    </xf>
    <xf borderId="0" fillId="3" fontId="4" numFmtId="167" xfId="0" applyAlignment="1" applyFont="1" applyNumberFormat="1">
      <alignment readingOrder="0"/>
    </xf>
    <xf borderId="0" fillId="0" fontId="1" numFmtId="10" xfId="0" applyAlignment="1" applyFont="1" applyNumberFormat="1">
      <alignment horizontal="right" readingOrder="0" vertical="bottom"/>
    </xf>
    <xf borderId="0" fillId="8" fontId="3" numFmtId="165" xfId="0" applyFill="1" applyFont="1" applyNumberFormat="1"/>
    <xf borderId="0" fillId="2" fontId="2" numFmtId="167" xfId="0" applyAlignment="1" applyFont="1" applyNumberFormat="1">
      <alignment readingOrder="0" shrinkToFit="0" vertical="bottom" wrapText="0"/>
    </xf>
    <xf borderId="0" fillId="6" fontId="5" numFmtId="167" xfId="0" applyAlignment="1" applyFont="1" applyNumberFormat="1">
      <alignment readingOrder="0" vertical="bottom"/>
    </xf>
    <xf borderId="0" fillId="3" fontId="2" numFmtId="167" xfId="0" applyAlignment="1" applyFont="1" applyNumberFormat="1">
      <alignment horizontal="center" readingOrder="0" shrinkToFit="0" vertical="bottom" wrapText="0"/>
    </xf>
    <xf borderId="0" fillId="0" fontId="6" numFmtId="10" xfId="0" applyAlignment="1" applyFont="1" applyNumberFormat="1">
      <alignment horizontal="right" vertical="bottom"/>
    </xf>
    <xf borderId="0" fillId="6" fontId="5" numFmtId="167" xfId="0" applyAlignment="1" applyFont="1" applyNumberFormat="1">
      <alignment vertical="bottom"/>
    </xf>
    <xf borderId="0" fillId="0" fontId="6" numFmtId="165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6" fontId="2" numFmtId="167" xfId="0" applyAlignment="1" applyFont="1" applyNumberFormat="1">
      <alignment horizontal="center" readingOrder="0" shrinkToFit="0" vertical="bottom" wrapText="0"/>
    </xf>
    <xf borderId="0" fillId="6" fontId="3" numFmtId="0" xfId="0" applyFont="1"/>
    <xf borderId="0" fillId="9" fontId="2" numFmtId="0" xfId="0" applyAlignment="1" applyFill="1" applyFont="1">
      <alignment horizontal="center" readingOrder="0" shrinkToFit="0" vertical="bottom" wrapText="0"/>
    </xf>
    <xf borderId="0" fillId="9" fontId="2" numFmtId="0" xfId="0" applyAlignment="1" applyFont="1">
      <alignment horizontal="center" shrinkToFit="0" vertical="bottom" wrapText="0"/>
    </xf>
    <xf borderId="0" fillId="10" fontId="2" numFmtId="0" xfId="0" applyAlignment="1" applyFill="1" applyFont="1">
      <alignment horizontal="center" readingOrder="0" shrinkToFit="0" vertical="bottom" wrapText="0"/>
    </xf>
    <xf borderId="0" fillId="11" fontId="1" numFmtId="165" xfId="0" applyAlignment="1" applyFill="1" applyFont="1" applyNumberFormat="1">
      <alignment horizontal="center" readingOrder="0" shrinkToFit="0" vertical="bottom" wrapText="0"/>
    </xf>
    <xf borderId="0" fillId="5" fontId="5" numFmtId="0" xfId="0" applyAlignment="1" applyFont="1">
      <alignment horizontal="center" vertical="bottom"/>
    </xf>
    <xf borderId="0" fillId="5" fontId="5" numFmtId="165" xfId="0" applyAlignment="1" applyFont="1" applyNumberFormat="1">
      <alignment horizontal="center" vertical="bottom"/>
    </xf>
    <xf borderId="0" fillId="6" fontId="5" numFmtId="0" xfId="0" applyAlignment="1" applyFont="1">
      <alignment horizontal="center" readingOrder="0" vertical="bottom"/>
    </xf>
    <xf borderId="0" fillId="6" fontId="3" numFmtId="165" xfId="0" applyFont="1" applyNumberFormat="1"/>
    <xf borderId="0" fillId="5" fontId="2" numFmtId="0" xfId="0" applyAlignment="1" applyFont="1">
      <alignment horizontal="center" readingOrder="0" vertical="bottom"/>
    </xf>
    <xf borderId="0" fillId="5" fontId="2" numFmtId="165" xfId="0" applyAlignment="1" applyFont="1" applyNumberFormat="1">
      <alignment horizontal="center" readingOrder="0" shrinkToFit="0" vertical="bottom" wrapText="0"/>
    </xf>
    <xf borderId="1" fillId="3" fontId="7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0" fillId="6" fontId="7" numFmtId="0" xfId="0" applyAlignment="1" applyFont="1">
      <alignment horizontal="center" readingOrder="0"/>
    </xf>
    <xf borderId="0" fillId="12" fontId="2" numFmtId="0" xfId="0" applyAlignment="1" applyFill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13" fontId="1" numFmtId="165" xfId="0" applyAlignment="1" applyFill="1" applyFont="1" applyNumberFormat="1">
      <alignment horizontal="center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11" fontId="2" numFmtId="0" xfId="0" applyAlignment="1" applyFont="1">
      <alignment horizontal="center" readingOrder="0"/>
    </xf>
    <xf borderId="0" fillId="14" fontId="1" numFmtId="165" xfId="0" applyAlignment="1" applyFill="1" applyFont="1" applyNumberFormat="1">
      <alignment horizontal="center"/>
    </xf>
    <xf borderId="0" fillId="15" fontId="1" numFmtId="0" xfId="0" applyAlignment="1" applyFill="1" applyFont="1">
      <alignment horizontal="center" readingOrder="0"/>
    </xf>
    <xf borderId="0" fillId="13" fontId="1" numFmtId="165" xfId="0" applyAlignment="1" applyFont="1" applyNumberFormat="1">
      <alignment horizontal="center" readingOrder="0"/>
    </xf>
    <xf borderId="0" fillId="14" fontId="1" numFmtId="10" xfId="0" applyAlignment="1" applyFont="1" applyNumberFormat="1">
      <alignment horizontal="center" readingOrder="0"/>
    </xf>
    <xf borderId="0" fillId="15" fontId="1" numFmtId="0" xfId="0" applyAlignment="1" applyFont="1">
      <alignment horizontal="center"/>
    </xf>
    <xf borderId="0" fillId="13" fontId="1" numFmtId="10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REVENUE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Sales!$W$1:$W$2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Sales!$X$3:$X$29</c:f>
            </c:strRef>
          </c:cat>
          <c:val>
            <c:numRef>
              <c:f>Sales!$W$3:$W$29</c:f>
              <c:numCache/>
            </c:numRef>
          </c:val>
        </c:ser>
        <c:axId val="1208615512"/>
        <c:axId val="1699226254"/>
      </c:barChart>
      <c:catAx>
        <c:axId val="1208615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226254"/>
      </c:catAx>
      <c:valAx>
        <c:axId val="1699226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DAILY SALES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86155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REVENUE OF SKU's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6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Sales!$M$31:$V$31</c:f>
            </c:strRef>
          </c:cat>
          <c:val>
            <c:numRef>
              <c:f>Sales!$M$30:$V$30</c:f>
              <c:numCache/>
            </c:numRef>
          </c:val>
        </c:ser>
        <c:ser>
          <c:idx val="1"/>
          <c:order val="1"/>
          <c:cat>
            <c:strRef>
              <c:f>Sales!$M$31:$V$31</c:f>
            </c:strRef>
          </c:cat>
          <c:val>
            <c:numRef>
              <c:f>Sales!$M$31:$V$31</c:f>
              <c:numCache/>
            </c:numRef>
          </c:val>
        </c:ser>
        <c:axId val="100095067"/>
        <c:axId val="1653803263"/>
      </c:barChart>
      <c:catAx>
        <c:axId val="100095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SKU's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3803263"/>
      </c:catAx>
      <c:valAx>
        <c:axId val="1653803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0950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WISE BREAKDOWN OF SKU's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Sales!$M$31:$V$31</c:f>
            </c:strRef>
          </c:cat>
          <c:val>
            <c:numRef>
              <c:f>Sales!$M$30:$V$30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Sales Over the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Inventory!$H$2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Inventory!$A$3:$A$12</c:f>
            </c:strRef>
          </c:cat>
          <c:val>
            <c:numRef>
              <c:f>Inventory!$H$3:$H$12</c:f>
              <c:numCache/>
            </c:numRef>
          </c:val>
        </c:ser>
        <c:axId val="966491901"/>
        <c:axId val="1148188364"/>
      </c:barChart>
      <c:catAx>
        <c:axId val="966491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8188364"/>
      </c:catAx>
      <c:valAx>
        <c:axId val="11481883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64919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Inventory Vs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Inventory!$G$2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Inventory!$I$3:$I$12</c:f>
            </c:strRef>
          </c:cat>
          <c:val>
            <c:numRef>
              <c:f>Inventory!$G$3:$G$12</c:f>
              <c:numCache/>
            </c:numRef>
          </c:val>
        </c:ser>
        <c:ser>
          <c:idx val="1"/>
          <c:order val="1"/>
          <c:tx>
            <c:strRef>
              <c:f>Inventory!$H$2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Inventory!$I$3:$I$12</c:f>
            </c:strRef>
          </c:cat>
          <c:val>
            <c:numRef>
              <c:f>Inventory!$H$3:$H$12</c:f>
              <c:numCache/>
            </c:numRef>
          </c:val>
        </c:ser>
        <c:axId val="683771623"/>
        <c:axId val="1577547745"/>
      </c:barChart>
      <c:catAx>
        <c:axId val="683771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547745"/>
      </c:catAx>
      <c:valAx>
        <c:axId val="1577547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Stock per Unit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7716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Inventory Over the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Inventory!$G$2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Inventory!$A$3:$A$12</c:f>
            </c:strRef>
          </c:cat>
          <c:val>
            <c:numRef>
              <c:f>Inventory!$G$3:$G$12</c:f>
              <c:numCache/>
            </c:numRef>
          </c:val>
        </c:ser>
        <c:axId val="929921858"/>
        <c:axId val="2059870457"/>
      </c:barChart>
      <c:catAx>
        <c:axId val="9299218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9870457"/>
      </c:catAx>
      <c:valAx>
        <c:axId val="2059870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99218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Cost Price Vs Selling Price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PL!$B$1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PL!$A$2:$A$12</c:f>
            </c:strRef>
          </c:cat>
          <c:val>
            <c:numRef>
              <c:f>PL!$B$2:$B$12</c:f>
              <c:numCache/>
            </c:numRef>
          </c:val>
        </c:ser>
        <c:ser>
          <c:idx val="1"/>
          <c:order val="1"/>
          <c:tx>
            <c:strRef>
              <c:f>PL!$C$1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PL!$A$2:$A$12</c:f>
            </c:strRef>
          </c:cat>
          <c:val>
            <c:numRef>
              <c:f>PL!$C$2:$C$12</c:f>
              <c:numCache/>
            </c:numRef>
          </c:val>
        </c:ser>
        <c:ser>
          <c:idx val="2"/>
          <c:order val="2"/>
          <c:tx>
            <c:strRef>
              <c:f>PL!$D$1</c:f>
            </c:strRef>
          </c:tx>
          <c:cat>
            <c:strRef>
              <c:f>PL!$A$2:$A$12</c:f>
            </c:strRef>
          </c:cat>
          <c:val>
            <c:numRef>
              <c:f>PL!$D$2:$D$12</c:f>
              <c:numCache/>
            </c:numRef>
          </c:val>
        </c:ser>
        <c:axId val="353705554"/>
        <c:axId val="697834998"/>
      </c:barChart>
      <c:catAx>
        <c:axId val="3537055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7834998"/>
      </c:catAx>
      <c:valAx>
        <c:axId val="6978349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37055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PL!$E$1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PL!$A$2:$A$12</c:f>
            </c:strRef>
          </c:cat>
          <c:val>
            <c:numRef>
              <c:f>PL!$E$2:$E$12</c:f>
              <c:numCache/>
            </c:numRef>
          </c:val>
        </c:ser>
        <c:axId val="357970557"/>
        <c:axId val="1702989924"/>
      </c:barChart>
      <c:catAx>
        <c:axId val="3579705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2989924"/>
      </c:catAx>
      <c:valAx>
        <c:axId val="17029899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79705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%  Vs Revenue % of SKUs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PL!$F$15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PL!$A$16:$A$25</c:f>
            </c:strRef>
          </c:cat>
          <c:val>
            <c:numRef>
              <c:f>PL!$F$16:$F$25</c:f>
              <c:numCache/>
            </c:numRef>
          </c:val>
        </c:ser>
        <c:ser>
          <c:idx val="1"/>
          <c:order val="1"/>
          <c:tx>
            <c:strRef>
              <c:f>PL!$H$15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PL!$A$16:$A$25</c:f>
            </c:strRef>
          </c:cat>
          <c:val>
            <c:numRef>
              <c:f>PL!$H$16:$H$25</c:f>
              <c:numCache/>
            </c:numRef>
          </c:val>
        </c:ser>
        <c:axId val="2014575250"/>
        <c:axId val="221907213"/>
      </c:barChart>
      <c:catAx>
        <c:axId val="2014575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1907213"/>
      </c:catAx>
      <c:valAx>
        <c:axId val="221907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45752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Contribution Of Each SKU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PL!$E$15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PL!$A$16:$A$25</c:f>
            </c:strRef>
          </c:cat>
          <c:val>
            <c:numRef>
              <c:f>PL!$E$16:$E$25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Contribution To Fixed Cost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'PL Insights'!$B$1:$B$2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6AA84F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'PL Insights'!$A$3:$A$5</c:f>
            </c:strRef>
          </c:cat>
          <c:val>
            <c:numRef>
              <c:f>'PL Insights'!$B$3:$B$5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INSIGHTS</a:t>
            </a:r>
          </a:p>
        </c:rich>
      </c:tx>
      <c:overlay val="0"/>
    </c:title>
    <c:plotArea>
      <c:layout>
        <c:manualLayout>
          <c:xMode val="edge"/>
          <c:yMode val="edge"/>
          <c:x val="0.26855000000000007"/>
          <c:y val="0.1372416891284816"/>
          <c:w val="0.6922833333333333"/>
          <c:h val="0.6833782569631626"/>
        </c:manualLayout>
      </c:layout>
      <c:barChart>
        <c:barDir val="bar"/>
        <c:ser>
          <c:idx val="0"/>
          <c:order val="0"/>
          <c:tx>
            <c:strRef>
              <c:f>'PL Insights'!$B$11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'PL Insights'!$A$12:$A$15</c:f>
            </c:strRef>
          </c:cat>
          <c:val>
            <c:numRef>
              <c:f>'PL Insights'!$B$12:$B$15</c:f>
              <c:numCache/>
            </c:numRef>
          </c:val>
        </c:ser>
        <c:axId val="531749952"/>
        <c:axId val="458257600"/>
      </c:barChart>
      <c:catAx>
        <c:axId val="531749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VARIABLES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8257600"/>
      </c:catAx>
      <c:valAx>
        <c:axId val="458257600"/>
        <c:scaling>
          <c:orientation val="minMax"/>
          <c:max val="1650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174995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Chart4.png"/><Relationship Id="rId5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image" Target="../media/image3.png"/><Relationship Id="rId6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31</xdr:row>
      <xdr:rowOff>0</xdr:rowOff>
    </xdr:from>
    <xdr:ext cx="6210300" cy="3095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733425</xdr:colOff>
      <xdr:row>31</xdr:row>
      <xdr:rowOff>0</xdr:rowOff>
    </xdr:from>
    <xdr:ext cx="5229225" cy="3019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371475</xdr:colOff>
      <xdr:row>31</xdr:row>
      <xdr:rowOff>76200</xdr:rowOff>
    </xdr:from>
    <xdr:ext cx="4800600" cy="30194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542925</xdr:colOff>
      <xdr:row>35</xdr:row>
      <xdr:rowOff>38100</xdr:rowOff>
    </xdr:from>
    <xdr:ext cx="4724400" cy="2924175"/>
    <xdr:pic>
      <xdr:nvPicPr>
        <xdr:cNvPr id="596060726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161925</xdr:rowOff>
    </xdr:from>
    <xdr:ext cx="8963025" cy="678180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409575</xdr:colOff>
      <xdr:row>12</xdr:row>
      <xdr:rowOff>85725</xdr:rowOff>
    </xdr:from>
    <xdr:ext cx="4962525" cy="30670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142875</xdr:colOff>
      <xdr:row>0</xdr:row>
      <xdr:rowOff>0</xdr:rowOff>
    </xdr:from>
    <xdr:ext cx="6257925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66675</xdr:colOff>
      <xdr:row>12</xdr:row>
      <xdr:rowOff>85725</xdr:rowOff>
    </xdr:from>
    <xdr:ext cx="4962525" cy="30670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76200</xdr:colOff>
      <xdr:row>17</xdr:row>
      <xdr:rowOff>200025</xdr:rowOff>
    </xdr:from>
    <xdr:ext cx="5715000" cy="30765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76200</xdr:colOff>
      <xdr:row>0</xdr:row>
      <xdr:rowOff>0</xdr:rowOff>
    </xdr:from>
    <xdr:ext cx="5581650" cy="34766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247650</xdr:colOff>
      <xdr:row>33</xdr:row>
      <xdr:rowOff>190500</xdr:rowOff>
    </xdr:from>
    <xdr:ext cx="6105525" cy="38100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219075</xdr:colOff>
      <xdr:row>18</xdr:row>
      <xdr:rowOff>66675</xdr:rowOff>
    </xdr:from>
    <xdr:ext cx="4953000" cy="30765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66675</xdr:colOff>
      <xdr:row>33</xdr:row>
      <xdr:rowOff>200025</xdr:rowOff>
    </xdr:from>
    <xdr:ext cx="5715000" cy="3810000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0</xdr:row>
      <xdr:rowOff>0</xdr:rowOff>
    </xdr:from>
    <xdr:ext cx="6019800" cy="3552825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228600</xdr:colOff>
      <xdr:row>0</xdr:row>
      <xdr:rowOff>28575</xdr:rowOff>
    </xdr:from>
    <xdr:ext cx="3886200" cy="24003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228600</xdr:colOff>
      <xdr:row>12</xdr:row>
      <xdr:rowOff>190500</xdr:rowOff>
    </xdr:from>
    <xdr:ext cx="4914900" cy="24955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38"/>
    <col customWidth="1" min="2" max="2" width="12.13"/>
    <col customWidth="1" min="22" max="22" width="18.13"/>
    <col customWidth="1" min="23" max="23" width="14.13"/>
  </cols>
  <sheetData>
    <row r="1">
      <c r="A1" s="1"/>
      <c r="B1" s="2"/>
      <c r="C1" s="2"/>
      <c r="D1" s="2"/>
      <c r="E1" s="3" t="s">
        <v>0</v>
      </c>
      <c r="H1" s="2"/>
      <c r="I1" s="2"/>
      <c r="J1" s="2"/>
      <c r="K1" s="2"/>
      <c r="M1" s="2"/>
      <c r="N1" s="2"/>
      <c r="O1" s="2"/>
      <c r="P1" s="3" t="s">
        <v>1</v>
      </c>
      <c r="S1" s="2"/>
      <c r="T1" s="2"/>
      <c r="U1" s="2"/>
      <c r="V1" s="2"/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3</v>
      </c>
      <c r="N2" s="4" t="s">
        <v>4</v>
      </c>
      <c r="O2" s="4" t="s">
        <v>5</v>
      </c>
      <c r="P2" s="4" t="s">
        <v>6</v>
      </c>
      <c r="Q2" s="4" t="s">
        <v>7</v>
      </c>
      <c r="R2" s="4" t="s">
        <v>8</v>
      </c>
      <c r="S2" s="4" t="s">
        <v>9</v>
      </c>
      <c r="T2" s="4" t="s">
        <v>10</v>
      </c>
      <c r="U2" s="4" t="s">
        <v>11</v>
      </c>
      <c r="V2" s="4" t="s">
        <v>12</v>
      </c>
      <c r="W2" s="4" t="s">
        <v>14</v>
      </c>
      <c r="X2" s="4" t="s">
        <v>2</v>
      </c>
    </row>
    <row r="3">
      <c r="A3" s="5">
        <v>45444.0</v>
      </c>
      <c r="B3" s="6">
        <v>64.0</v>
      </c>
      <c r="C3" s="6">
        <v>12.0</v>
      </c>
      <c r="D3" s="6">
        <v>75.0</v>
      </c>
      <c r="E3" s="6">
        <v>32.0</v>
      </c>
      <c r="F3" s="6">
        <v>0.0</v>
      </c>
      <c r="G3" s="6">
        <v>0.0</v>
      </c>
      <c r="H3" s="6">
        <v>16.0</v>
      </c>
      <c r="I3" s="6">
        <v>0.0</v>
      </c>
      <c r="J3" s="6">
        <v>0.0</v>
      </c>
      <c r="K3" s="6">
        <v>0.0</v>
      </c>
      <c r="L3" s="7">
        <f t="shared" ref="L3:L29" si="1">SUM(B3:K3)</f>
        <v>199</v>
      </c>
      <c r="M3" s="8">
        <f t="shared" ref="M3:M29" si="2">B3*201</f>
        <v>12864</v>
      </c>
      <c r="N3" s="8">
        <f t="shared" ref="N3:N29" si="3">C3*194</f>
        <v>2328</v>
      </c>
      <c r="O3" s="8">
        <f t="shared" ref="O3:O29" si="4">D3*88</f>
        <v>6600</v>
      </c>
      <c r="P3" s="8">
        <f>E3*PL!$D$5</f>
        <v>5312</v>
      </c>
      <c r="Q3" s="8">
        <f>F3*PL!$D$6</f>
        <v>0</v>
      </c>
      <c r="R3" s="8">
        <f>G3*PL!$D$7</f>
        <v>0</v>
      </c>
      <c r="S3" s="8">
        <f>H3*PL!$D$8</f>
        <v>2944</v>
      </c>
      <c r="T3" s="8">
        <f>I3*PL!$D$9</f>
        <v>0</v>
      </c>
      <c r="U3" s="8">
        <f>J3*PL!$D$10</f>
        <v>0</v>
      </c>
      <c r="V3" s="8">
        <f>K3*PL!$D$11</f>
        <v>0</v>
      </c>
      <c r="W3" s="9">
        <f t="shared" ref="W3:W30" si="5">SUM(M3:V3)</f>
        <v>30048</v>
      </c>
      <c r="X3" s="10">
        <v>45444.0</v>
      </c>
    </row>
    <row r="4">
      <c r="A4" s="10">
        <v>45445.0</v>
      </c>
      <c r="B4" s="6">
        <v>44.0</v>
      </c>
      <c r="C4" s="6">
        <v>0.0</v>
      </c>
      <c r="D4" s="6">
        <v>0.0</v>
      </c>
      <c r="E4" s="6">
        <v>48.0</v>
      </c>
      <c r="F4" s="6">
        <v>96.0</v>
      </c>
      <c r="G4" s="6">
        <v>48.0</v>
      </c>
      <c r="H4" s="6">
        <v>16.0</v>
      </c>
      <c r="I4" s="6">
        <v>0.0</v>
      </c>
      <c r="J4" s="6">
        <v>0.0</v>
      </c>
      <c r="K4" s="6">
        <v>0.0</v>
      </c>
      <c r="L4" s="7">
        <f t="shared" si="1"/>
        <v>252</v>
      </c>
      <c r="M4" s="8">
        <f t="shared" si="2"/>
        <v>8844</v>
      </c>
      <c r="N4" s="8">
        <f t="shared" si="3"/>
        <v>0</v>
      </c>
      <c r="O4" s="8">
        <f t="shared" si="4"/>
        <v>0</v>
      </c>
      <c r="P4" s="8">
        <f>E4*PL!$D$5</f>
        <v>7968</v>
      </c>
      <c r="Q4" s="8">
        <f>F4*PL!$D$6</f>
        <v>27360</v>
      </c>
      <c r="R4" s="8">
        <f>G4*PL!$D$7</f>
        <v>11760</v>
      </c>
      <c r="S4" s="8">
        <f>H4*PL!$D$8</f>
        <v>2944</v>
      </c>
      <c r="T4" s="8">
        <f>I4*PL!$D$9</f>
        <v>0</v>
      </c>
      <c r="U4" s="8">
        <f>J4*PL!$D$10</f>
        <v>0</v>
      </c>
      <c r="V4" s="8">
        <f>K4*PL!$D$11</f>
        <v>0</v>
      </c>
      <c r="W4" s="9">
        <f t="shared" si="5"/>
        <v>58876</v>
      </c>
      <c r="X4" s="10">
        <v>45445.0</v>
      </c>
    </row>
    <row r="5">
      <c r="A5" s="10">
        <v>45446.0</v>
      </c>
      <c r="B5" s="6">
        <v>48.0</v>
      </c>
      <c r="C5" s="6">
        <v>0.0</v>
      </c>
      <c r="D5" s="6">
        <v>0.0</v>
      </c>
      <c r="E5" s="6">
        <v>0.0</v>
      </c>
      <c r="F5" s="6">
        <v>80.0</v>
      </c>
      <c r="G5" s="6">
        <v>100.0</v>
      </c>
      <c r="H5" s="6">
        <v>0.0</v>
      </c>
      <c r="I5" s="6">
        <v>10.0</v>
      </c>
      <c r="J5" s="6">
        <v>0.0</v>
      </c>
      <c r="K5" s="6">
        <v>0.0</v>
      </c>
      <c r="L5" s="7">
        <f t="shared" si="1"/>
        <v>238</v>
      </c>
      <c r="M5" s="8">
        <f t="shared" si="2"/>
        <v>9648</v>
      </c>
      <c r="N5" s="8">
        <f t="shared" si="3"/>
        <v>0</v>
      </c>
      <c r="O5" s="8">
        <f t="shared" si="4"/>
        <v>0</v>
      </c>
      <c r="P5" s="8">
        <f>E5*PL!$D$5</f>
        <v>0</v>
      </c>
      <c r="Q5" s="8">
        <f>F5*PL!$D$6</f>
        <v>22800</v>
      </c>
      <c r="R5" s="8">
        <f>G5*PL!$D$7</f>
        <v>24500</v>
      </c>
      <c r="S5" s="8">
        <f>H5*PL!$D$8</f>
        <v>0</v>
      </c>
      <c r="T5" s="8">
        <f>I5*PL!$D$9</f>
        <v>900</v>
      </c>
      <c r="U5" s="8">
        <f>J5*PL!$D$10</f>
        <v>0</v>
      </c>
      <c r="V5" s="8">
        <f>K5*PL!$D$11</f>
        <v>0</v>
      </c>
      <c r="W5" s="9">
        <f t="shared" si="5"/>
        <v>57848</v>
      </c>
      <c r="X5" s="10">
        <v>45446.0</v>
      </c>
    </row>
    <row r="6">
      <c r="A6" s="10">
        <v>45447.0</v>
      </c>
      <c r="B6" s="6">
        <v>48.0</v>
      </c>
      <c r="C6" s="6">
        <v>0.0</v>
      </c>
      <c r="D6" s="6">
        <v>0.0</v>
      </c>
      <c r="E6" s="6">
        <v>0.0</v>
      </c>
      <c r="F6" s="6">
        <v>30.0</v>
      </c>
      <c r="G6" s="6">
        <v>0.0</v>
      </c>
      <c r="H6" s="6">
        <v>25.0</v>
      </c>
      <c r="I6" s="6">
        <v>10.0</v>
      </c>
      <c r="J6" s="6">
        <v>36.0</v>
      </c>
      <c r="K6" s="6">
        <v>100.0</v>
      </c>
      <c r="L6" s="7">
        <f t="shared" si="1"/>
        <v>249</v>
      </c>
      <c r="M6" s="8">
        <f t="shared" si="2"/>
        <v>9648</v>
      </c>
      <c r="N6" s="8">
        <f t="shared" si="3"/>
        <v>0</v>
      </c>
      <c r="O6" s="8">
        <f t="shared" si="4"/>
        <v>0</v>
      </c>
      <c r="P6" s="8">
        <f>E6*PL!$D$5</f>
        <v>0</v>
      </c>
      <c r="Q6" s="8">
        <f>F6*PL!$D$6</f>
        <v>8550</v>
      </c>
      <c r="R6" s="8">
        <f>G6*PL!$D$7</f>
        <v>0</v>
      </c>
      <c r="S6" s="8">
        <f>H6*PL!$D$8</f>
        <v>4600</v>
      </c>
      <c r="T6" s="8">
        <f>I6*PL!$D$9</f>
        <v>900</v>
      </c>
      <c r="U6" s="8">
        <f>J6*PL!$D$10</f>
        <v>7380</v>
      </c>
      <c r="V6" s="8">
        <f>K6*PL!$D$11</f>
        <v>21500</v>
      </c>
      <c r="W6" s="9">
        <f t="shared" si="5"/>
        <v>52578</v>
      </c>
      <c r="X6" s="10">
        <v>45447.0</v>
      </c>
    </row>
    <row r="7">
      <c r="A7" s="10">
        <v>45448.0</v>
      </c>
      <c r="B7" s="6">
        <v>48.0</v>
      </c>
      <c r="C7" s="6">
        <v>34.0</v>
      </c>
      <c r="D7" s="6">
        <v>0.0</v>
      </c>
      <c r="E7" s="6">
        <v>48.0</v>
      </c>
      <c r="F7" s="6">
        <v>30.0</v>
      </c>
      <c r="G7" s="6">
        <v>48.0</v>
      </c>
      <c r="H7" s="6">
        <v>64.0</v>
      </c>
      <c r="I7" s="6">
        <v>10.0</v>
      </c>
      <c r="J7" s="6">
        <v>0.0</v>
      </c>
      <c r="K7" s="6">
        <v>100.0</v>
      </c>
      <c r="L7" s="7">
        <f t="shared" si="1"/>
        <v>382</v>
      </c>
      <c r="M7" s="8">
        <f t="shared" si="2"/>
        <v>9648</v>
      </c>
      <c r="N7" s="8">
        <f t="shared" si="3"/>
        <v>6596</v>
      </c>
      <c r="O7" s="8">
        <f t="shared" si="4"/>
        <v>0</v>
      </c>
      <c r="P7" s="8">
        <f>E7*PL!$D$5</f>
        <v>7968</v>
      </c>
      <c r="Q7" s="8">
        <f>F7*PL!$D$6</f>
        <v>8550</v>
      </c>
      <c r="R7" s="8">
        <f>G7*PL!$D$7</f>
        <v>11760</v>
      </c>
      <c r="S7" s="8">
        <f>H7*PL!$D$8</f>
        <v>11776</v>
      </c>
      <c r="T7" s="8">
        <f>I7*PL!$D$9</f>
        <v>900</v>
      </c>
      <c r="U7" s="8">
        <f>J7*PL!$D$10</f>
        <v>0</v>
      </c>
      <c r="V7" s="8">
        <f>K7*PL!$D$11</f>
        <v>21500</v>
      </c>
      <c r="W7" s="9">
        <f t="shared" si="5"/>
        <v>78698</v>
      </c>
      <c r="X7" s="10">
        <v>45448.0</v>
      </c>
    </row>
    <row r="8">
      <c r="A8" s="10">
        <v>45449.0</v>
      </c>
      <c r="B8" s="6">
        <v>0.0</v>
      </c>
      <c r="C8" s="6">
        <v>0.0</v>
      </c>
      <c r="D8" s="6">
        <v>0.0</v>
      </c>
      <c r="E8" s="6">
        <f>32+48</f>
        <v>80</v>
      </c>
      <c r="F8" s="6">
        <v>0.0</v>
      </c>
      <c r="G8" s="6">
        <v>0.0</v>
      </c>
      <c r="H8" s="6">
        <v>32.0</v>
      </c>
      <c r="I8" s="6">
        <v>12.0</v>
      </c>
      <c r="J8" s="6">
        <v>48.0</v>
      </c>
      <c r="K8" s="6">
        <v>0.0</v>
      </c>
      <c r="L8" s="7">
        <f t="shared" si="1"/>
        <v>172</v>
      </c>
      <c r="M8" s="8">
        <f t="shared" si="2"/>
        <v>0</v>
      </c>
      <c r="N8" s="8">
        <f t="shared" si="3"/>
        <v>0</v>
      </c>
      <c r="O8" s="8">
        <f t="shared" si="4"/>
        <v>0</v>
      </c>
      <c r="P8" s="8">
        <f>E8*PL!$D$5</f>
        <v>13280</v>
      </c>
      <c r="Q8" s="8">
        <f>F8*PL!$D$6</f>
        <v>0</v>
      </c>
      <c r="R8" s="8">
        <f>G8*PL!$D$7</f>
        <v>0</v>
      </c>
      <c r="S8" s="8">
        <f>H8*PL!$D$8</f>
        <v>5888</v>
      </c>
      <c r="T8" s="8">
        <f>I8*PL!$D$9</f>
        <v>1080</v>
      </c>
      <c r="U8" s="8">
        <f>J8*PL!$D$10</f>
        <v>9840</v>
      </c>
      <c r="V8" s="8">
        <f>K8*PL!$D$11</f>
        <v>0</v>
      </c>
      <c r="W8" s="9">
        <f t="shared" si="5"/>
        <v>30088</v>
      </c>
      <c r="X8" s="10">
        <v>45449.0</v>
      </c>
    </row>
    <row r="9">
      <c r="A9" s="10">
        <v>45450.0</v>
      </c>
      <c r="B9" s="6">
        <v>24.0</v>
      </c>
      <c r="C9" s="6">
        <v>16.0</v>
      </c>
      <c r="D9" s="6">
        <v>0.0</v>
      </c>
      <c r="E9" s="6">
        <v>64.0</v>
      </c>
      <c r="F9" s="6">
        <v>60.0</v>
      </c>
      <c r="G9" s="6">
        <v>0.0</v>
      </c>
      <c r="H9" s="6">
        <v>80.0</v>
      </c>
      <c r="I9" s="6">
        <v>15.0</v>
      </c>
      <c r="J9" s="6">
        <v>0.0</v>
      </c>
      <c r="K9" s="6">
        <v>0.0</v>
      </c>
      <c r="L9" s="7">
        <f t="shared" si="1"/>
        <v>259</v>
      </c>
      <c r="M9" s="8">
        <f t="shared" si="2"/>
        <v>4824</v>
      </c>
      <c r="N9" s="8">
        <f t="shared" si="3"/>
        <v>3104</v>
      </c>
      <c r="O9" s="8">
        <f t="shared" si="4"/>
        <v>0</v>
      </c>
      <c r="P9" s="8">
        <f>E9*PL!$D$5</f>
        <v>10624</v>
      </c>
      <c r="Q9" s="8">
        <f>F9*PL!$D$6</f>
        <v>17100</v>
      </c>
      <c r="R9" s="8">
        <f>G9*PL!$D$7</f>
        <v>0</v>
      </c>
      <c r="S9" s="8">
        <f>H9*PL!$D$8</f>
        <v>14720</v>
      </c>
      <c r="T9" s="8">
        <f>I9*PL!$D$9</f>
        <v>1350</v>
      </c>
      <c r="U9" s="8">
        <f>J9*PL!$D$10</f>
        <v>0</v>
      </c>
      <c r="V9" s="8">
        <f>K9*PL!$D$11</f>
        <v>0</v>
      </c>
      <c r="W9" s="9">
        <f t="shared" si="5"/>
        <v>51722</v>
      </c>
      <c r="X9" s="10">
        <v>45450.0</v>
      </c>
    </row>
    <row r="10">
      <c r="A10" s="10">
        <v>45451.0</v>
      </c>
      <c r="B10" s="6">
        <v>0.0</v>
      </c>
      <c r="C10" s="6">
        <f>22+15</f>
        <v>37</v>
      </c>
      <c r="D10" s="6">
        <v>12.0</v>
      </c>
      <c r="E10" s="6">
        <v>48.0</v>
      </c>
      <c r="F10" s="6">
        <v>0.0</v>
      </c>
      <c r="G10" s="6">
        <v>0.0</v>
      </c>
      <c r="H10" s="6">
        <v>64.0</v>
      </c>
      <c r="I10" s="6">
        <v>0.0</v>
      </c>
      <c r="J10" s="6">
        <v>0.0</v>
      </c>
      <c r="K10" s="6">
        <v>0.0</v>
      </c>
      <c r="L10" s="7">
        <f t="shared" si="1"/>
        <v>161</v>
      </c>
      <c r="M10" s="8">
        <f t="shared" si="2"/>
        <v>0</v>
      </c>
      <c r="N10" s="8">
        <f t="shared" si="3"/>
        <v>7178</v>
      </c>
      <c r="O10" s="8">
        <f t="shared" si="4"/>
        <v>1056</v>
      </c>
      <c r="P10" s="8">
        <f>E10*PL!$D$5</f>
        <v>7968</v>
      </c>
      <c r="Q10" s="8">
        <f>F10*PL!$D$6</f>
        <v>0</v>
      </c>
      <c r="R10" s="8">
        <f>G10*PL!$D$7</f>
        <v>0</v>
      </c>
      <c r="S10" s="8">
        <f>H10*PL!$D$8</f>
        <v>11776</v>
      </c>
      <c r="T10" s="8">
        <f>I10*PL!$D$9</f>
        <v>0</v>
      </c>
      <c r="U10" s="8">
        <f>J10*PL!$D$10</f>
        <v>0</v>
      </c>
      <c r="V10" s="8">
        <f>K10*PL!$D$11</f>
        <v>0</v>
      </c>
      <c r="W10" s="9">
        <f t="shared" si="5"/>
        <v>27978</v>
      </c>
      <c r="X10" s="10">
        <v>45451.0</v>
      </c>
    </row>
    <row r="11">
      <c r="A11" s="10">
        <v>45452.0</v>
      </c>
      <c r="B11" s="6">
        <v>84.0</v>
      </c>
      <c r="C11" s="6">
        <v>35.0</v>
      </c>
      <c r="D11" s="6">
        <v>0.0</v>
      </c>
      <c r="E11" s="6">
        <v>112.0</v>
      </c>
      <c r="F11" s="6">
        <v>80.0</v>
      </c>
      <c r="G11" s="6">
        <v>0.0</v>
      </c>
      <c r="H11" s="6">
        <v>16.0</v>
      </c>
      <c r="I11" s="6">
        <v>0.0</v>
      </c>
      <c r="J11" s="6">
        <v>0.0</v>
      </c>
      <c r="K11" s="6">
        <v>0.0</v>
      </c>
      <c r="L11" s="7">
        <f t="shared" si="1"/>
        <v>327</v>
      </c>
      <c r="M11" s="8">
        <f t="shared" si="2"/>
        <v>16884</v>
      </c>
      <c r="N11" s="8">
        <f t="shared" si="3"/>
        <v>6790</v>
      </c>
      <c r="O11" s="8">
        <f t="shared" si="4"/>
        <v>0</v>
      </c>
      <c r="P11" s="8">
        <f>E11*PL!$D$5</f>
        <v>18592</v>
      </c>
      <c r="Q11" s="8">
        <f>F11*PL!$D$6</f>
        <v>22800</v>
      </c>
      <c r="R11" s="8">
        <f>G11*PL!$D$7</f>
        <v>0</v>
      </c>
      <c r="S11" s="8">
        <f>H11*PL!$D$8</f>
        <v>2944</v>
      </c>
      <c r="T11" s="8">
        <f>I11*PL!$D$9</f>
        <v>0</v>
      </c>
      <c r="U11" s="8">
        <f>J11*PL!$D$10</f>
        <v>0</v>
      </c>
      <c r="V11" s="8">
        <f>K11*PL!$D$11</f>
        <v>0</v>
      </c>
      <c r="W11" s="9">
        <f t="shared" si="5"/>
        <v>68010</v>
      </c>
      <c r="X11" s="10">
        <v>45452.0</v>
      </c>
    </row>
    <row r="12">
      <c r="A12" s="10">
        <v>45453.0</v>
      </c>
      <c r="B12" s="6">
        <v>48.0</v>
      </c>
      <c r="C12" s="6">
        <v>32.0</v>
      </c>
      <c r="D12" s="6">
        <v>0.0</v>
      </c>
      <c r="E12" s="6">
        <f>64+32</f>
        <v>96</v>
      </c>
      <c r="F12" s="6">
        <v>72.0</v>
      </c>
      <c r="G12" s="6">
        <v>0.0</v>
      </c>
      <c r="H12" s="6">
        <f>64+64</f>
        <v>128</v>
      </c>
      <c r="I12" s="6">
        <v>0.0</v>
      </c>
      <c r="J12" s="6">
        <v>0.0</v>
      </c>
      <c r="K12" s="6">
        <v>150.0</v>
      </c>
      <c r="L12" s="7">
        <f t="shared" si="1"/>
        <v>526</v>
      </c>
      <c r="M12" s="8">
        <f t="shared" si="2"/>
        <v>9648</v>
      </c>
      <c r="N12" s="8">
        <f t="shared" si="3"/>
        <v>6208</v>
      </c>
      <c r="O12" s="8">
        <f t="shared" si="4"/>
        <v>0</v>
      </c>
      <c r="P12" s="8">
        <f>E12*PL!$D$5</f>
        <v>15936</v>
      </c>
      <c r="Q12" s="8">
        <f>F12*PL!$D$6</f>
        <v>20520</v>
      </c>
      <c r="R12" s="8">
        <f>G12*PL!$D$7</f>
        <v>0</v>
      </c>
      <c r="S12" s="8">
        <f>H12*PL!$D$8</f>
        <v>23552</v>
      </c>
      <c r="T12" s="8">
        <f>I12*PL!$D$9</f>
        <v>0</v>
      </c>
      <c r="U12" s="8">
        <f>J12*PL!$D$10</f>
        <v>0</v>
      </c>
      <c r="V12" s="8">
        <f>K12*PL!$D$11</f>
        <v>32250</v>
      </c>
      <c r="W12" s="9">
        <f t="shared" si="5"/>
        <v>108114</v>
      </c>
      <c r="X12" s="10">
        <v>45453.0</v>
      </c>
    </row>
    <row r="13">
      <c r="A13" s="10">
        <v>45455.0</v>
      </c>
      <c r="B13" s="6">
        <v>84.0</v>
      </c>
      <c r="C13" s="6">
        <v>15.0</v>
      </c>
      <c r="D13" s="6">
        <v>25.0</v>
      </c>
      <c r="E13" s="6">
        <v>80.0</v>
      </c>
      <c r="F13" s="6">
        <v>12.0</v>
      </c>
      <c r="G13" s="6">
        <v>0.0</v>
      </c>
      <c r="H13" s="6">
        <f>16+32</f>
        <v>48</v>
      </c>
      <c r="I13" s="6">
        <v>50.0</v>
      </c>
      <c r="J13" s="6">
        <v>24.0</v>
      </c>
      <c r="K13" s="6">
        <v>0.0</v>
      </c>
      <c r="L13" s="7">
        <f t="shared" si="1"/>
        <v>338</v>
      </c>
      <c r="M13" s="8">
        <f t="shared" si="2"/>
        <v>16884</v>
      </c>
      <c r="N13" s="8">
        <f t="shared" si="3"/>
        <v>2910</v>
      </c>
      <c r="O13" s="8">
        <f t="shared" si="4"/>
        <v>2200</v>
      </c>
      <c r="P13" s="8">
        <f>E13*PL!$D$5</f>
        <v>13280</v>
      </c>
      <c r="Q13" s="8">
        <f>F13*PL!$D$6</f>
        <v>3420</v>
      </c>
      <c r="R13" s="8">
        <f>G13*PL!$D$7</f>
        <v>0</v>
      </c>
      <c r="S13" s="8">
        <f>H13*PL!$D$8</f>
        <v>8832</v>
      </c>
      <c r="T13" s="8">
        <f>I13*PL!$D$9</f>
        <v>4500</v>
      </c>
      <c r="U13" s="8">
        <f>J13*PL!$D$10</f>
        <v>4920</v>
      </c>
      <c r="V13" s="8">
        <f>K13*PL!$D$11</f>
        <v>0</v>
      </c>
      <c r="W13" s="9">
        <f t="shared" si="5"/>
        <v>56946</v>
      </c>
      <c r="X13" s="10">
        <v>45455.0</v>
      </c>
    </row>
    <row r="14">
      <c r="A14" s="10">
        <v>45456.0</v>
      </c>
      <c r="B14" s="6">
        <v>54.0</v>
      </c>
      <c r="C14" s="6">
        <v>17.0</v>
      </c>
      <c r="D14" s="6">
        <v>0.0</v>
      </c>
      <c r="E14" s="6">
        <v>0.0</v>
      </c>
      <c r="F14" s="6">
        <v>0.0</v>
      </c>
      <c r="G14" s="6">
        <v>0.0</v>
      </c>
      <c r="H14" s="6">
        <v>128.0</v>
      </c>
      <c r="I14" s="6">
        <v>20.0</v>
      </c>
      <c r="J14" s="6">
        <v>0.0</v>
      </c>
      <c r="K14" s="6">
        <v>0.0</v>
      </c>
      <c r="L14" s="7">
        <f t="shared" si="1"/>
        <v>219</v>
      </c>
      <c r="M14" s="8">
        <f t="shared" si="2"/>
        <v>10854</v>
      </c>
      <c r="N14" s="8">
        <f t="shared" si="3"/>
        <v>3298</v>
      </c>
      <c r="O14" s="8">
        <f t="shared" si="4"/>
        <v>0</v>
      </c>
      <c r="P14" s="8">
        <f>E14*PL!$D$5</f>
        <v>0</v>
      </c>
      <c r="Q14" s="8">
        <f>F14*PL!$D$6</f>
        <v>0</v>
      </c>
      <c r="R14" s="8">
        <f>G14*PL!$D$7</f>
        <v>0</v>
      </c>
      <c r="S14" s="8">
        <f>H14*PL!$D$8</f>
        <v>23552</v>
      </c>
      <c r="T14" s="8">
        <f>I14*PL!$D$9</f>
        <v>1800</v>
      </c>
      <c r="U14" s="8">
        <f>J14*PL!$D$10</f>
        <v>0</v>
      </c>
      <c r="V14" s="8">
        <f>K14*PL!$D$11</f>
        <v>0</v>
      </c>
      <c r="W14" s="9">
        <f t="shared" si="5"/>
        <v>39504</v>
      </c>
      <c r="X14" s="10">
        <v>45456.0</v>
      </c>
    </row>
    <row r="15">
      <c r="A15" s="10">
        <v>45457.0</v>
      </c>
      <c r="B15" s="6">
        <v>80.0</v>
      </c>
      <c r="C15" s="6">
        <v>0.0</v>
      </c>
      <c r="D15" s="6">
        <v>0.0</v>
      </c>
      <c r="E15" s="6">
        <v>80.0</v>
      </c>
      <c r="F15" s="6">
        <v>32.0</v>
      </c>
      <c r="G15" s="6">
        <v>48.0</v>
      </c>
      <c r="H15" s="6">
        <v>112.0</v>
      </c>
      <c r="I15" s="6">
        <v>70.0</v>
      </c>
      <c r="J15" s="6">
        <v>36.0</v>
      </c>
      <c r="K15" s="6">
        <v>0.0</v>
      </c>
      <c r="L15" s="7">
        <f t="shared" si="1"/>
        <v>458</v>
      </c>
      <c r="M15" s="8">
        <f t="shared" si="2"/>
        <v>16080</v>
      </c>
      <c r="N15" s="8">
        <f t="shared" si="3"/>
        <v>0</v>
      </c>
      <c r="O15" s="8">
        <f t="shared" si="4"/>
        <v>0</v>
      </c>
      <c r="P15" s="8">
        <f>E15*PL!$D$5</f>
        <v>13280</v>
      </c>
      <c r="Q15" s="8">
        <f>F15*PL!$D$6</f>
        <v>9120</v>
      </c>
      <c r="R15" s="8">
        <f>G15*PL!$D$7</f>
        <v>11760</v>
      </c>
      <c r="S15" s="8">
        <f>H15*PL!$D$8</f>
        <v>20608</v>
      </c>
      <c r="T15" s="8">
        <f>I15*PL!$D$9</f>
        <v>6300</v>
      </c>
      <c r="U15" s="8">
        <f>J15*PL!$D$10</f>
        <v>7380</v>
      </c>
      <c r="V15" s="8">
        <f>K15*PL!$D$11</f>
        <v>0</v>
      </c>
      <c r="W15" s="9">
        <f t="shared" si="5"/>
        <v>84528</v>
      </c>
      <c r="X15" s="10">
        <v>45457.0</v>
      </c>
    </row>
    <row r="16">
      <c r="A16" s="10">
        <v>45458.0</v>
      </c>
      <c r="B16" s="6">
        <v>64.0</v>
      </c>
      <c r="C16" s="6">
        <v>0.0</v>
      </c>
      <c r="D16" s="6">
        <v>0.0</v>
      </c>
      <c r="E16" s="6">
        <f>16+32</f>
        <v>48</v>
      </c>
      <c r="F16" s="6">
        <v>0.0</v>
      </c>
      <c r="G16" s="6">
        <v>0.0</v>
      </c>
      <c r="H16" s="6">
        <v>32.0</v>
      </c>
      <c r="I16" s="6">
        <v>12.0</v>
      </c>
      <c r="J16" s="6">
        <v>0.0</v>
      </c>
      <c r="K16" s="6">
        <v>0.0</v>
      </c>
      <c r="L16" s="7">
        <f t="shared" si="1"/>
        <v>156</v>
      </c>
      <c r="M16" s="8">
        <f t="shared" si="2"/>
        <v>12864</v>
      </c>
      <c r="N16" s="8">
        <f t="shared" si="3"/>
        <v>0</v>
      </c>
      <c r="O16" s="8">
        <f t="shared" si="4"/>
        <v>0</v>
      </c>
      <c r="P16" s="8">
        <f>E16*PL!$D$5</f>
        <v>7968</v>
      </c>
      <c r="Q16" s="8">
        <f>F16*PL!$D$6</f>
        <v>0</v>
      </c>
      <c r="R16" s="8">
        <f>G16*PL!$D$7</f>
        <v>0</v>
      </c>
      <c r="S16" s="8">
        <f>H16*PL!$D$8</f>
        <v>5888</v>
      </c>
      <c r="T16" s="8">
        <f>I16*PL!$D$9</f>
        <v>1080</v>
      </c>
      <c r="U16" s="8">
        <f>J16*PL!$D$10</f>
        <v>0</v>
      </c>
      <c r="V16" s="8">
        <f>K16*PL!$D$11</f>
        <v>0</v>
      </c>
      <c r="W16" s="9">
        <f t="shared" si="5"/>
        <v>27800</v>
      </c>
      <c r="X16" s="10">
        <v>45458.0</v>
      </c>
    </row>
    <row r="17">
      <c r="A17" s="10">
        <v>45459.0</v>
      </c>
      <c r="B17" s="6">
        <v>32.0</v>
      </c>
      <c r="C17" s="6">
        <v>10.0</v>
      </c>
      <c r="D17" s="6">
        <v>50.0</v>
      </c>
      <c r="E17" s="6">
        <f>128+16</f>
        <v>144</v>
      </c>
      <c r="F17" s="6">
        <v>42.0</v>
      </c>
      <c r="G17" s="6">
        <v>100.0</v>
      </c>
      <c r="H17" s="6">
        <v>16.0</v>
      </c>
      <c r="I17" s="6">
        <v>0.0</v>
      </c>
      <c r="J17" s="6">
        <v>0.0</v>
      </c>
      <c r="K17" s="6">
        <v>0.0</v>
      </c>
      <c r="L17" s="7">
        <f t="shared" si="1"/>
        <v>394</v>
      </c>
      <c r="M17" s="8">
        <f t="shared" si="2"/>
        <v>6432</v>
      </c>
      <c r="N17" s="8">
        <f t="shared" si="3"/>
        <v>1940</v>
      </c>
      <c r="O17" s="8">
        <f t="shared" si="4"/>
        <v>4400</v>
      </c>
      <c r="P17" s="8">
        <f>E17*PL!$D$5</f>
        <v>23904</v>
      </c>
      <c r="Q17" s="8">
        <f>F17*PL!$D$6</f>
        <v>11970</v>
      </c>
      <c r="R17" s="8">
        <f>G17*PL!$D$7</f>
        <v>24500</v>
      </c>
      <c r="S17" s="8">
        <f>H17*PL!$D$8</f>
        <v>2944</v>
      </c>
      <c r="T17" s="8">
        <f>I17*PL!$D$9</f>
        <v>0</v>
      </c>
      <c r="U17" s="8">
        <f>J17*PL!$D$10</f>
        <v>0</v>
      </c>
      <c r="V17" s="8">
        <f>K17*PL!$D$11</f>
        <v>0</v>
      </c>
      <c r="W17" s="9">
        <f t="shared" si="5"/>
        <v>76090</v>
      </c>
      <c r="X17" s="10">
        <v>45459.0</v>
      </c>
    </row>
    <row r="18">
      <c r="A18" s="10">
        <v>45461.0</v>
      </c>
      <c r="B18" s="6">
        <v>48.0</v>
      </c>
      <c r="C18" s="6">
        <v>10.0</v>
      </c>
      <c r="D18" s="6">
        <v>0.0</v>
      </c>
      <c r="E18" s="6">
        <v>0.0</v>
      </c>
      <c r="F18" s="6">
        <v>0.0</v>
      </c>
      <c r="G18" s="6">
        <v>0.0</v>
      </c>
      <c r="H18" s="6">
        <v>48.0</v>
      </c>
      <c r="I18" s="6">
        <v>40.0</v>
      </c>
      <c r="J18" s="6">
        <v>0.0</v>
      </c>
      <c r="K18" s="6">
        <v>0.0</v>
      </c>
      <c r="L18" s="7">
        <f t="shared" si="1"/>
        <v>146</v>
      </c>
      <c r="M18" s="8">
        <f t="shared" si="2"/>
        <v>9648</v>
      </c>
      <c r="N18" s="8">
        <f t="shared" si="3"/>
        <v>1940</v>
      </c>
      <c r="O18" s="8">
        <f t="shared" si="4"/>
        <v>0</v>
      </c>
      <c r="P18" s="8">
        <f>E18*PL!$D$5</f>
        <v>0</v>
      </c>
      <c r="Q18" s="8">
        <f>F18*PL!$D$6</f>
        <v>0</v>
      </c>
      <c r="R18" s="8">
        <f>G18*PL!$D$7</f>
        <v>0</v>
      </c>
      <c r="S18" s="8">
        <f>H18*PL!$D$8</f>
        <v>8832</v>
      </c>
      <c r="T18" s="8">
        <f>I18*PL!$D$9</f>
        <v>3600</v>
      </c>
      <c r="U18" s="8">
        <f>J18*PL!$D$10</f>
        <v>0</v>
      </c>
      <c r="V18" s="8">
        <f>K18*PL!$D$11</f>
        <v>0</v>
      </c>
      <c r="W18" s="9">
        <f t="shared" si="5"/>
        <v>24020</v>
      </c>
      <c r="X18" s="10">
        <v>45461.0</v>
      </c>
    </row>
    <row r="19">
      <c r="A19" s="10">
        <v>45462.0</v>
      </c>
      <c r="B19" s="6">
        <v>64.0</v>
      </c>
      <c r="C19" s="6">
        <v>0.0</v>
      </c>
      <c r="D19" s="6">
        <v>5.0</v>
      </c>
      <c r="E19" s="6">
        <v>184.0</v>
      </c>
      <c r="F19" s="6">
        <v>72.0</v>
      </c>
      <c r="G19" s="6">
        <v>48.0</v>
      </c>
      <c r="H19" s="6">
        <v>48.0</v>
      </c>
      <c r="I19" s="6">
        <v>20.0</v>
      </c>
      <c r="J19" s="6">
        <v>0.0</v>
      </c>
      <c r="K19" s="6">
        <v>0.0</v>
      </c>
      <c r="L19" s="7">
        <f t="shared" si="1"/>
        <v>441</v>
      </c>
      <c r="M19" s="8">
        <f t="shared" si="2"/>
        <v>12864</v>
      </c>
      <c r="N19" s="8">
        <f t="shared" si="3"/>
        <v>0</v>
      </c>
      <c r="O19" s="8">
        <f t="shared" si="4"/>
        <v>440</v>
      </c>
      <c r="P19" s="8">
        <f>E19*PL!$D$5</f>
        <v>30544</v>
      </c>
      <c r="Q19" s="8">
        <f>F19*PL!$D$6</f>
        <v>20520</v>
      </c>
      <c r="R19" s="8">
        <f>G19*PL!$D$7</f>
        <v>11760</v>
      </c>
      <c r="S19" s="8">
        <f>H19*PL!$D$8</f>
        <v>8832</v>
      </c>
      <c r="T19" s="8">
        <f>I19*PL!$D$9</f>
        <v>1800</v>
      </c>
      <c r="U19" s="8">
        <f>J19*PL!$D$10</f>
        <v>0</v>
      </c>
      <c r="V19" s="8">
        <f>K19*PL!$D$11</f>
        <v>0</v>
      </c>
      <c r="W19" s="9">
        <f t="shared" si="5"/>
        <v>86760</v>
      </c>
      <c r="X19" s="10">
        <v>45462.0</v>
      </c>
    </row>
    <row r="20">
      <c r="A20" s="10">
        <v>45464.0</v>
      </c>
      <c r="B20" s="6">
        <v>24.0</v>
      </c>
      <c r="C20" s="6">
        <v>0.0</v>
      </c>
      <c r="D20" s="6">
        <v>0.0</v>
      </c>
      <c r="E20" s="6">
        <f>64+64</f>
        <v>128</v>
      </c>
      <c r="F20" s="6">
        <v>0.0</v>
      </c>
      <c r="G20" s="6">
        <v>48.0</v>
      </c>
      <c r="H20" s="6">
        <v>32.0</v>
      </c>
      <c r="I20" s="6">
        <v>0.0</v>
      </c>
      <c r="J20" s="6">
        <v>32.0</v>
      </c>
      <c r="K20" s="6">
        <v>25.0</v>
      </c>
      <c r="L20" s="7">
        <f t="shared" si="1"/>
        <v>289</v>
      </c>
      <c r="M20" s="8">
        <f t="shared" si="2"/>
        <v>4824</v>
      </c>
      <c r="N20" s="8">
        <f t="shared" si="3"/>
        <v>0</v>
      </c>
      <c r="O20" s="8">
        <f t="shared" si="4"/>
        <v>0</v>
      </c>
      <c r="P20" s="8">
        <f>E20*PL!$D$5</f>
        <v>21248</v>
      </c>
      <c r="Q20" s="8">
        <f>F20*PL!$D$6</f>
        <v>0</v>
      </c>
      <c r="R20" s="8">
        <f>G20*PL!$D$7</f>
        <v>11760</v>
      </c>
      <c r="S20" s="8">
        <f>H20*PL!$D$8</f>
        <v>5888</v>
      </c>
      <c r="T20" s="8">
        <f>I20*PL!$D$9</f>
        <v>0</v>
      </c>
      <c r="U20" s="8">
        <f>J20*PL!$D$10</f>
        <v>6560</v>
      </c>
      <c r="V20" s="8">
        <f>K20*PL!$D$11</f>
        <v>5375</v>
      </c>
      <c r="W20" s="9">
        <f t="shared" si="5"/>
        <v>55655</v>
      </c>
      <c r="X20" s="10">
        <v>45464.0</v>
      </c>
    </row>
    <row r="21">
      <c r="A21" s="10">
        <v>45465.0</v>
      </c>
      <c r="B21" s="6">
        <v>48.0</v>
      </c>
      <c r="C21" s="6">
        <v>0.0</v>
      </c>
      <c r="D21" s="6">
        <v>0.0</v>
      </c>
      <c r="E21" s="6">
        <v>32.0</v>
      </c>
      <c r="F21" s="6">
        <v>0.0</v>
      </c>
      <c r="G21" s="6">
        <v>0.0</v>
      </c>
      <c r="H21" s="6">
        <v>72.0</v>
      </c>
      <c r="I21" s="6">
        <v>10.0</v>
      </c>
      <c r="J21" s="6">
        <v>48.0</v>
      </c>
      <c r="K21" s="6">
        <v>0.0</v>
      </c>
      <c r="L21" s="7">
        <f t="shared" si="1"/>
        <v>210</v>
      </c>
      <c r="M21" s="8">
        <f t="shared" si="2"/>
        <v>9648</v>
      </c>
      <c r="N21" s="8">
        <f t="shared" si="3"/>
        <v>0</v>
      </c>
      <c r="O21" s="8">
        <f t="shared" si="4"/>
        <v>0</v>
      </c>
      <c r="P21" s="8">
        <f>E21*PL!$D$5</f>
        <v>5312</v>
      </c>
      <c r="Q21" s="8">
        <f>F21*PL!$D$6</f>
        <v>0</v>
      </c>
      <c r="R21" s="8">
        <f>G21*PL!$D$7</f>
        <v>0</v>
      </c>
      <c r="S21" s="8">
        <f>H21*PL!$D$8</f>
        <v>13248</v>
      </c>
      <c r="T21" s="8">
        <f>I21*PL!$D$9</f>
        <v>900</v>
      </c>
      <c r="U21" s="8">
        <f>J21*PL!$D$10</f>
        <v>9840</v>
      </c>
      <c r="V21" s="8">
        <f>K21*PL!$D$11</f>
        <v>0</v>
      </c>
      <c r="W21" s="9">
        <f t="shared" si="5"/>
        <v>38948</v>
      </c>
      <c r="X21" s="10">
        <v>45465.0</v>
      </c>
    </row>
    <row r="22">
      <c r="A22" s="10">
        <v>45466.0</v>
      </c>
      <c r="B22" s="6">
        <v>48.0</v>
      </c>
      <c r="C22" s="6">
        <v>6.0</v>
      </c>
      <c r="D22" s="6">
        <v>0.0</v>
      </c>
      <c r="E22" s="6">
        <f>64+96</f>
        <v>160</v>
      </c>
      <c r="F22" s="6">
        <v>60.0</v>
      </c>
      <c r="G22" s="6">
        <v>48.0</v>
      </c>
      <c r="H22" s="6">
        <f>32+48</f>
        <v>80</v>
      </c>
      <c r="I22" s="6">
        <v>0.0</v>
      </c>
      <c r="J22" s="6">
        <v>32.0</v>
      </c>
      <c r="K22" s="6">
        <v>0.0</v>
      </c>
      <c r="L22" s="7">
        <f t="shared" si="1"/>
        <v>434</v>
      </c>
      <c r="M22" s="8">
        <f t="shared" si="2"/>
        <v>9648</v>
      </c>
      <c r="N22" s="8">
        <f t="shared" si="3"/>
        <v>1164</v>
      </c>
      <c r="O22" s="8">
        <f t="shared" si="4"/>
        <v>0</v>
      </c>
      <c r="P22" s="8">
        <f>E22*PL!$D$5</f>
        <v>26560</v>
      </c>
      <c r="Q22" s="8">
        <f>F22*PL!$D$6</f>
        <v>17100</v>
      </c>
      <c r="R22" s="8">
        <f>G22*PL!$D$7</f>
        <v>11760</v>
      </c>
      <c r="S22" s="8">
        <f>H22*PL!$D$8</f>
        <v>14720</v>
      </c>
      <c r="T22" s="8">
        <f>I22*PL!$D$9</f>
        <v>0</v>
      </c>
      <c r="U22" s="8">
        <f>J22*PL!$D$10</f>
        <v>6560</v>
      </c>
      <c r="V22" s="8">
        <f>K22*PL!$D$11</f>
        <v>0</v>
      </c>
      <c r="W22" s="9">
        <f t="shared" si="5"/>
        <v>87512</v>
      </c>
      <c r="X22" s="10">
        <v>45466.0</v>
      </c>
    </row>
    <row r="23">
      <c r="A23" s="10">
        <v>45467.0</v>
      </c>
      <c r="B23" s="6">
        <v>12.0</v>
      </c>
      <c r="C23" s="6">
        <v>0.0</v>
      </c>
      <c r="D23" s="6">
        <v>10.0</v>
      </c>
      <c r="E23" s="6">
        <v>78.0</v>
      </c>
      <c r="F23" s="6">
        <v>0.0</v>
      </c>
      <c r="G23" s="6">
        <v>0.0</v>
      </c>
      <c r="H23" s="6">
        <v>32.0</v>
      </c>
      <c r="I23" s="6">
        <v>10.0</v>
      </c>
      <c r="J23" s="6">
        <v>0.0</v>
      </c>
      <c r="K23" s="6">
        <v>0.0</v>
      </c>
      <c r="L23" s="7">
        <f t="shared" si="1"/>
        <v>142</v>
      </c>
      <c r="M23" s="8">
        <f t="shared" si="2"/>
        <v>2412</v>
      </c>
      <c r="N23" s="8">
        <f t="shared" si="3"/>
        <v>0</v>
      </c>
      <c r="O23" s="8">
        <f t="shared" si="4"/>
        <v>880</v>
      </c>
      <c r="P23" s="8">
        <f>E23*PL!$D$5</f>
        <v>12948</v>
      </c>
      <c r="Q23" s="8">
        <f>F23*PL!$D$6</f>
        <v>0</v>
      </c>
      <c r="R23" s="8">
        <f>G23*PL!$D$7</f>
        <v>0</v>
      </c>
      <c r="S23" s="8">
        <f>H23*PL!$D$8</f>
        <v>5888</v>
      </c>
      <c r="T23" s="8">
        <f>I23*PL!$D$9</f>
        <v>900</v>
      </c>
      <c r="U23" s="8">
        <f>J23*PL!$D$10</f>
        <v>0</v>
      </c>
      <c r="V23" s="8">
        <f>K23*PL!$D$11</f>
        <v>0</v>
      </c>
      <c r="W23" s="9">
        <f t="shared" si="5"/>
        <v>23028</v>
      </c>
      <c r="X23" s="10">
        <v>45467.0</v>
      </c>
    </row>
    <row r="24">
      <c r="A24" s="10">
        <v>45468.0</v>
      </c>
      <c r="B24" s="6">
        <v>60.0</v>
      </c>
      <c r="C24" s="6">
        <v>24.0</v>
      </c>
      <c r="D24" s="6">
        <v>0.0</v>
      </c>
      <c r="E24" s="6">
        <f>80+64</f>
        <v>144</v>
      </c>
      <c r="F24" s="6">
        <v>0.0</v>
      </c>
      <c r="G24" s="6">
        <v>0.0</v>
      </c>
      <c r="H24" s="6">
        <v>185.0</v>
      </c>
      <c r="I24" s="6">
        <f>20+50</f>
        <v>70</v>
      </c>
      <c r="J24" s="6">
        <v>0.0</v>
      </c>
      <c r="K24" s="6">
        <v>24.0</v>
      </c>
      <c r="L24" s="7">
        <f t="shared" si="1"/>
        <v>507</v>
      </c>
      <c r="M24" s="8">
        <f t="shared" si="2"/>
        <v>12060</v>
      </c>
      <c r="N24" s="8">
        <f t="shared" si="3"/>
        <v>4656</v>
      </c>
      <c r="O24" s="8">
        <f t="shared" si="4"/>
        <v>0</v>
      </c>
      <c r="P24" s="8">
        <f>E24*PL!$D$5</f>
        <v>23904</v>
      </c>
      <c r="Q24" s="8">
        <f>F24*PL!$D$6</f>
        <v>0</v>
      </c>
      <c r="R24" s="8">
        <f>G24*PL!$D$7</f>
        <v>0</v>
      </c>
      <c r="S24" s="8">
        <f>H24*PL!$D$8</f>
        <v>34040</v>
      </c>
      <c r="T24" s="8">
        <f>I24*PL!$D$9</f>
        <v>6300</v>
      </c>
      <c r="U24" s="8">
        <f>J24*PL!$D$10</f>
        <v>0</v>
      </c>
      <c r="V24" s="8">
        <f>K24*PL!$D$11</f>
        <v>5160</v>
      </c>
      <c r="W24" s="9">
        <f t="shared" si="5"/>
        <v>86120</v>
      </c>
      <c r="X24" s="10">
        <v>45468.0</v>
      </c>
    </row>
    <row r="25">
      <c r="A25" s="10">
        <v>45469.0</v>
      </c>
      <c r="B25" s="6">
        <v>106.0</v>
      </c>
      <c r="C25" s="6">
        <v>26.0</v>
      </c>
      <c r="D25" s="6">
        <v>0.0</v>
      </c>
      <c r="E25" s="6">
        <v>32.0</v>
      </c>
      <c r="F25" s="6">
        <v>16.0</v>
      </c>
      <c r="G25" s="6">
        <f>64+96</f>
        <v>160</v>
      </c>
      <c r="H25" s="6">
        <f>80+16</f>
        <v>96</v>
      </c>
      <c r="I25" s="6">
        <f>105+60</f>
        <v>165</v>
      </c>
      <c r="J25" s="6">
        <v>0.0</v>
      </c>
      <c r="K25" s="6">
        <v>50.0</v>
      </c>
      <c r="L25" s="7">
        <f t="shared" si="1"/>
        <v>651</v>
      </c>
      <c r="M25" s="8">
        <f t="shared" si="2"/>
        <v>21306</v>
      </c>
      <c r="N25" s="8">
        <f t="shared" si="3"/>
        <v>5044</v>
      </c>
      <c r="O25" s="8">
        <f t="shared" si="4"/>
        <v>0</v>
      </c>
      <c r="P25" s="8">
        <f>E25*PL!$D$5</f>
        <v>5312</v>
      </c>
      <c r="Q25" s="8">
        <f>F25*PL!$D$6</f>
        <v>4560</v>
      </c>
      <c r="R25" s="8">
        <f>G25*PL!$D$7</f>
        <v>39200</v>
      </c>
      <c r="S25" s="8">
        <f>H25*PL!$D$8</f>
        <v>17664</v>
      </c>
      <c r="T25" s="8">
        <f>I25*PL!$D$9</f>
        <v>14850</v>
      </c>
      <c r="U25" s="8">
        <f>J25*PL!$D$10</f>
        <v>0</v>
      </c>
      <c r="V25" s="8">
        <f>K25*PL!$D$11</f>
        <v>10750</v>
      </c>
      <c r="W25" s="9">
        <f t="shared" si="5"/>
        <v>118686</v>
      </c>
      <c r="X25" s="10">
        <v>45469.0</v>
      </c>
    </row>
    <row r="26">
      <c r="A26" s="10">
        <v>45470.0</v>
      </c>
      <c r="B26" s="11">
        <v>48.0</v>
      </c>
      <c r="C26" s="11">
        <v>0.0</v>
      </c>
      <c r="D26" s="11">
        <v>10.0</v>
      </c>
      <c r="E26" s="11">
        <v>72.0</v>
      </c>
      <c r="F26" s="11">
        <v>60.0</v>
      </c>
      <c r="G26" s="11">
        <v>80.0</v>
      </c>
      <c r="H26" s="11">
        <v>36.0</v>
      </c>
      <c r="I26" s="11">
        <v>20.0</v>
      </c>
      <c r="J26" s="11">
        <v>0.0</v>
      </c>
      <c r="K26" s="11">
        <v>0.0</v>
      </c>
      <c r="L26" s="7">
        <f t="shared" si="1"/>
        <v>326</v>
      </c>
      <c r="M26" s="8">
        <f t="shared" si="2"/>
        <v>9648</v>
      </c>
      <c r="N26" s="8">
        <f t="shared" si="3"/>
        <v>0</v>
      </c>
      <c r="O26" s="8">
        <f t="shared" si="4"/>
        <v>880</v>
      </c>
      <c r="P26" s="8">
        <f>E26*PL!$D$5</f>
        <v>11952</v>
      </c>
      <c r="Q26" s="8">
        <f>F26*PL!$D$6</f>
        <v>17100</v>
      </c>
      <c r="R26" s="8">
        <f>G26*PL!$D$7</f>
        <v>19600</v>
      </c>
      <c r="S26" s="8">
        <f>H26*PL!$D$8</f>
        <v>6624</v>
      </c>
      <c r="T26" s="8">
        <f>I26*PL!$D$9</f>
        <v>1800</v>
      </c>
      <c r="U26" s="8">
        <f>J26*PL!$D$10</f>
        <v>0</v>
      </c>
      <c r="V26" s="8">
        <f>K26*PL!$D$11</f>
        <v>0</v>
      </c>
      <c r="W26" s="9">
        <f t="shared" si="5"/>
        <v>67604</v>
      </c>
      <c r="X26" s="10">
        <v>45470.0</v>
      </c>
    </row>
    <row r="27">
      <c r="A27" s="10">
        <v>45471.0</v>
      </c>
      <c r="B27" s="11">
        <v>60.0</v>
      </c>
      <c r="C27" s="11">
        <v>9.0</v>
      </c>
      <c r="D27" s="11">
        <v>0.0</v>
      </c>
      <c r="E27" s="11">
        <v>48.0</v>
      </c>
      <c r="F27" s="11">
        <v>60.0</v>
      </c>
      <c r="G27" s="12">
        <f>48+80</f>
        <v>128</v>
      </c>
      <c r="H27" s="12">
        <f>48+32</f>
        <v>80</v>
      </c>
      <c r="I27" s="11">
        <v>10.0</v>
      </c>
      <c r="J27" s="11">
        <v>16.0</v>
      </c>
      <c r="K27" s="11">
        <v>0.0</v>
      </c>
      <c r="L27" s="7">
        <f t="shared" si="1"/>
        <v>411</v>
      </c>
      <c r="M27" s="8">
        <f t="shared" si="2"/>
        <v>12060</v>
      </c>
      <c r="N27" s="8">
        <f t="shared" si="3"/>
        <v>1746</v>
      </c>
      <c r="O27" s="8">
        <f t="shared" si="4"/>
        <v>0</v>
      </c>
      <c r="P27" s="8">
        <f>E27*PL!$D$5</f>
        <v>7968</v>
      </c>
      <c r="Q27" s="8">
        <f>F27*PL!$D$6</f>
        <v>17100</v>
      </c>
      <c r="R27" s="8">
        <f>G27*PL!$D$7</f>
        <v>31360</v>
      </c>
      <c r="S27" s="8">
        <f>H27*PL!$D$8</f>
        <v>14720</v>
      </c>
      <c r="T27" s="8">
        <f>I27*PL!$D$9</f>
        <v>900</v>
      </c>
      <c r="U27" s="8">
        <f>J27*PL!$D$10</f>
        <v>3280</v>
      </c>
      <c r="V27" s="8">
        <f>K27*PL!$D$11</f>
        <v>0</v>
      </c>
      <c r="W27" s="9">
        <f t="shared" si="5"/>
        <v>89134</v>
      </c>
      <c r="X27" s="10">
        <v>45471.0</v>
      </c>
    </row>
    <row r="28">
      <c r="A28" s="10">
        <v>45472.0</v>
      </c>
      <c r="B28" s="11">
        <v>24.0</v>
      </c>
      <c r="C28" s="11">
        <v>38.0</v>
      </c>
      <c r="D28" s="11">
        <v>20.0</v>
      </c>
      <c r="E28" s="12">
        <f>128+48</f>
        <v>176</v>
      </c>
      <c r="F28" s="11">
        <v>0.0</v>
      </c>
      <c r="G28" s="11">
        <v>0.0</v>
      </c>
      <c r="H28" s="11">
        <v>72.0</v>
      </c>
      <c r="I28" s="11">
        <v>23.0</v>
      </c>
      <c r="J28" s="11">
        <v>0.0</v>
      </c>
      <c r="K28" s="11">
        <v>0.0</v>
      </c>
      <c r="L28" s="7">
        <f t="shared" si="1"/>
        <v>353</v>
      </c>
      <c r="M28" s="8">
        <f t="shared" si="2"/>
        <v>4824</v>
      </c>
      <c r="N28" s="8">
        <f t="shared" si="3"/>
        <v>7372</v>
      </c>
      <c r="O28" s="8">
        <f t="shared" si="4"/>
        <v>1760</v>
      </c>
      <c r="P28" s="8">
        <f>E28*PL!$D$5</f>
        <v>29216</v>
      </c>
      <c r="Q28" s="8">
        <f>F28*PL!$D$6</f>
        <v>0</v>
      </c>
      <c r="R28" s="8">
        <f>G28*PL!$D$7</f>
        <v>0</v>
      </c>
      <c r="S28" s="8">
        <f>H28*PL!$D$8</f>
        <v>13248</v>
      </c>
      <c r="T28" s="8">
        <f>I28*PL!$D$9</f>
        <v>2070</v>
      </c>
      <c r="U28" s="8">
        <f>J28*PL!$D$10</f>
        <v>0</v>
      </c>
      <c r="V28" s="8">
        <f>K28*PL!$D$11</f>
        <v>0</v>
      </c>
      <c r="W28" s="9">
        <f t="shared" si="5"/>
        <v>58490</v>
      </c>
      <c r="X28" s="10">
        <v>45472.0</v>
      </c>
    </row>
    <row r="29">
      <c r="A29" s="10">
        <v>45473.0</v>
      </c>
      <c r="B29" s="11">
        <v>16.0</v>
      </c>
      <c r="C29" s="11">
        <v>8.0</v>
      </c>
      <c r="D29" s="11">
        <v>0.0</v>
      </c>
      <c r="E29" s="12">
        <f>48+32</f>
        <v>80</v>
      </c>
      <c r="F29" s="11">
        <v>0.0</v>
      </c>
      <c r="G29" s="11">
        <v>32.0</v>
      </c>
      <c r="H29" s="11">
        <v>32.0</v>
      </c>
      <c r="I29" s="11">
        <v>20.0</v>
      </c>
      <c r="J29" s="11">
        <v>16.0</v>
      </c>
      <c r="K29" s="11">
        <v>0.0</v>
      </c>
      <c r="L29" s="7">
        <f t="shared" si="1"/>
        <v>204</v>
      </c>
      <c r="M29" s="8">
        <f t="shared" si="2"/>
        <v>3216</v>
      </c>
      <c r="N29" s="8">
        <f t="shared" si="3"/>
        <v>1552</v>
      </c>
      <c r="O29" s="8">
        <f t="shared" si="4"/>
        <v>0</v>
      </c>
      <c r="P29" s="8">
        <f>E29*PL!$D$5</f>
        <v>13280</v>
      </c>
      <c r="Q29" s="8">
        <f>F29*PL!$D$6</f>
        <v>0</v>
      </c>
      <c r="R29" s="8">
        <f>G29*PL!$D$7</f>
        <v>7840</v>
      </c>
      <c r="S29" s="8">
        <f>H29*PL!$D$8</f>
        <v>5888</v>
      </c>
      <c r="T29" s="8">
        <f>I29*PL!$D$9</f>
        <v>1800</v>
      </c>
      <c r="U29" s="8">
        <f>J29*PL!$D$10</f>
        <v>3280</v>
      </c>
      <c r="V29" s="8">
        <f>K29*PL!$D$11</f>
        <v>0</v>
      </c>
      <c r="W29" s="9">
        <f t="shared" si="5"/>
        <v>36856</v>
      </c>
      <c r="X29" s="10">
        <v>45473.0</v>
      </c>
    </row>
    <row r="30">
      <c r="A30" s="4" t="s">
        <v>15</v>
      </c>
      <c r="B30" s="13">
        <f t="shared" ref="B30:K30" si="6">SUM(B3:B29)</f>
        <v>1280</v>
      </c>
      <c r="C30" s="13">
        <f t="shared" si="6"/>
        <v>329</v>
      </c>
      <c r="D30" s="13">
        <f t="shared" si="6"/>
        <v>207</v>
      </c>
      <c r="E30" s="13">
        <f t="shared" si="6"/>
        <v>2014</v>
      </c>
      <c r="F30" s="13">
        <f t="shared" si="6"/>
        <v>802</v>
      </c>
      <c r="G30" s="13">
        <f t="shared" si="6"/>
        <v>888</v>
      </c>
      <c r="H30" s="13">
        <f t="shared" si="6"/>
        <v>1590</v>
      </c>
      <c r="I30" s="13">
        <f t="shared" si="6"/>
        <v>597</v>
      </c>
      <c r="J30" s="13">
        <f t="shared" si="6"/>
        <v>288</v>
      </c>
      <c r="K30" s="13">
        <f t="shared" si="6"/>
        <v>449</v>
      </c>
      <c r="L30" s="14"/>
      <c r="M30" s="15">
        <f t="shared" ref="M30:V30" si="7">SUM(M3:M29)</f>
        <v>257280</v>
      </c>
      <c r="N30" s="15">
        <f t="shared" si="7"/>
        <v>63826</v>
      </c>
      <c r="O30" s="15">
        <f t="shared" si="7"/>
        <v>18216</v>
      </c>
      <c r="P30" s="15">
        <f t="shared" si="7"/>
        <v>334324</v>
      </c>
      <c r="Q30" s="15">
        <f t="shared" si="7"/>
        <v>228570</v>
      </c>
      <c r="R30" s="15">
        <f t="shared" si="7"/>
        <v>217560</v>
      </c>
      <c r="S30" s="15">
        <f t="shared" si="7"/>
        <v>292560</v>
      </c>
      <c r="T30" s="15">
        <f t="shared" si="7"/>
        <v>53730</v>
      </c>
      <c r="U30" s="15">
        <f t="shared" si="7"/>
        <v>59040</v>
      </c>
      <c r="V30" s="15">
        <f t="shared" si="7"/>
        <v>96535</v>
      </c>
      <c r="W30" s="9">
        <f t="shared" si="5"/>
        <v>1621641</v>
      </c>
    </row>
    <row r="31">
      <c r="M31" s="4" t="s">
        <v>3</v>
      </c>
      <c r="N31" s="4" t="s">
        <v>4</v>
      </c>
      <c r="O31" s="4" t="s">
        <v>5</v>
      </c>
      <c r="P31" s="4" t="s">
        <v>6</v>
      </c>
      <c r="Q31" s="4" t="s">
        <v>7</v>
      </c>
      <c r="R31" s="4" t="s">
        <v>8</v>
      </c>
      <c r="S31" s="4" t="s">
        <v>9</v>
      </c>
      <c r="T31" s="4" t="s">
        <v>10</v>
      </c>
      <c r="U31" s="4" t="s">
        <v>11</v>
      </c>
      <c r="V31" s="4" t="s">
        <v>12</v>
      </c>
    </row>
    <row r="32">
      <c r="F32" s="16"/>
      <c r="V32" s="17" t="s">
        <v>16</v>
      </c>
      <c r="W32" s="18">
        <f>STDEV(W3:W29)</f>
        <v>26435.37841</v>
      </c>
    </row>
    <row r="33">
      <c r="V33" s="17" t="s">
        <v>17</v>
      </c>
      <c r="W33" s="18">
        <f>AVERAGE(W3:W29)</f>
        <v>60060.77778</v>
      </c>
    </row>
    <row r="34">
      <c r="V34" s="17" t="s">
        <v>18</v>
      </c>
      <c r="W34" s="18">
        <f>MAX(W3:W29)</f>
        <v>118686</v>
      </c>
    </row>
    <row r="35">
      <c r="V35" s="17" t="s">
        <v>19</v>
      </c>
      <c r="W35" s="18">
        <f>MIN(W3:W29)</f>
        <v>23028</v>
      </c>
    </row>
    <row r="49">
      <c r="F49" s="19"/>
    </row>
  </sheetData>
  <mergeCells count="2">
    <mergeCell ref="E1:G1"/>
    <mergeCell ref="P1:R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20" t="s">
        <v>20</v>
      </c>
    </row>
    <row r="2">
      <c r="A2" s="21" t="s">
        <v>21</v>
      </c>
      <c r="C2" s="17" t="s">
        <v>22</v>
      </c>
      <c r="D2" s="10">
        <v>45446.0</v>
      </c>
      <c r="E2" s="10">
        <v>45464.0</v>
      </c>
      <c r="F2" s="17" t="s">
        <v>23</v>
      </c>
      <c r="G2" s="17" t="s">
        <v>24</v>
      </c>
      <c r="H2" s="17" t="s">
        <v>25</v>
      </c>
      <c r="I2" s="21" t="s">
        <v>21</v>
      </c>
      <c r="J2" s="21"/>
    </row>
    <row r="3">
      <c r="A3" s="21" t="s">
        <v>3</v>
      </c>
      <c r="C3" s="22">
        <v>256.0</v>
      </c>
      <c r="D3" s="22">
        <v>960.0</v>
      </c>
      <c r="E3" s="22">
        <v>400.0</v>
      </c>
      <c r="F3" s="23">
        <f>C3+E3+D3-1280</f>
        <v>336</v>
      </c>
      <c r="G3" s="24">
        <f t="shared" ref="G3:G12" si="1">(C3+D3+E3)</f>
        <v>1616</v>
      </c>
      <c r="H3" s="22">
        <v>1280.0</v>
      </c>
      <c r="I3" s="21" t="s">
        <v>3</v>
      </c>
      <c r="J3" s="21"/>
    </row>
    <row r="4">
      <c r="A4" s="21" t="s">
        <v>4</v>
      </c>
      <c r="C4" s="22">
        <v>30.0</v>
      </c>
      <c r="D4" s="22">
        <v>250.0</v>
      </c>
      <c r="E4" s="22">
        <v>200.0</v>
      </c>
      <c r="F4" s="23">
        <f>C4+E4+D4-329</f>
        <v>151</v>
      </c>
      <c r="G4" s="24">
        <f t="shared" si="1"/>
        <v>480</v>
      </c>
      <c r="H4" s="22">
        <v>329.0</v>
      </c>
      <c r="I4" s="21" t="s">
        <v>4</v>
      </c>
      <c r="J4" s="21"/>
    </row>
    <row r="5">
      <c r="A5" s="21" t="s">
        <v>5</v>
      </c>
      <c r="C5" s="22">
        <v>100.0</v>
      </c>
      <c r="D5" s="22">
        <v>150.0</v>
      </c>
      <c r="E5" s="22">
        <v>150.0</v>
      </c>
      <c r="F5" s="23">
        <f>C5+E5+D5-207</f>
        <v>193</v>
      </c>
      <c r="G5" s="24">
        <f t="shared" si="1"/>
        <v>400</v>
      </c>
      <c r="H5" s="22">
        <v>207.0</v>
      </c>
      <c r="I5" s="21" t="s">
        <v>5</v>
      </c>
      <c r="J5" s="21"/>
    </row>
    <row r="6">
      <c r="A6" s="21" t="s">
        <v>6</v>
      </c>
      <c r="C6" s="22">
        <v>160.0</v>
      </c>
      <c r="D6" s="22">
        <v>1500.0</v>
      </c>
      <c r="E6" s="22">
        <v>1200.0</v>
      </c>
      <c r="F6" s="23">
        <f>C6+E6+D6-2014</f>
        <v>846</v>
      </c>
      <c r="G6" s="24">
        <f t="shared" si="1"/>
        <v>2860</v>
      </c>
      <c r="H6" s="22">
        <v>2014.0</v>
      </c>
      <c r="I6" s="21" t="s">
        <v>6</v>
      </c>
      <c r="J6" s="21"/>
    </row>
    <row r="7">
      <c r="A7" s="21" t="s">
        <v>7</v>
      </c>
      <c r="C7" s="22">
        <v>240.0</v>
      </c>
      <c r="D7" s="22">
        <v>660.0</v>
      </c>
      <c r="E7" s="22">
        <v>400.0</v>
      </c>
      <c r="F7" s="23">
        <f>C7+E7+D7-802</f>
        <v>498</v>
      </c>
      <c r="G7" s="24">
        <f t="shared" si="1"/>
        <v>1300</v>
      </c>
      <c r="H7" s="22">
        <v>802.0</v>
      </c>
      <c r="I7" s="21" t="s">
        <v>7</v>
      </c>
      <c r="J7" s="21"/>
    </row>
    <row r="8">
      <c r="A8" s="21" t="s">
        <v>8</v>
      </c>
      <c r="C8" s="22">
        <v>208.0</v>
      </c>
      <c r="D8" s="22">
        <v>432.0</v>
      </c>
      <c r="E8" s="22">
        <v>560.0</v>
      </c>
      <c r="F8" s="23">
        <f>C8+E8+D8-888</f>
        <v>312</v>
      </c>
      <c r="G8" s="24">
        <f t="shared" si="1"/>
        <v>1200</v>
      </c>
      <c r="H8" s="22">
        <v>888.0</v>
      </c>
      <c r="I8" s="21" t="s">
        <v>8</v>
      </c>
      <c r="J8" s="21"/>
    </row>
    <row r="9">
      <c r="A9" s="21" t="s">
        <v>9</v>
      </c>
      <c r="C9" s="22">
        <v>176.0</v>
      </c>
      <c r="D9" s="22">
        <v>1040.0</v>
      </c>
      <c r="E9" s="22">
        <v>1200.0</v>
      </c>
      <c r="F9" s="23">
        <f>C9+E9+D9-1590</f>
        <v>826</v>
      </c>
      <c r="G9" s="24">
        <f t="shared" si="1"/>
        <v>2416</v>
      </c>
      <c r="H9" s="22">
        <v>1590.0</v>
      </c>
      <c r="I9" s="21" t="s">
        <v>9</v>
      </c>
      <c r="J9" s="21"/>
    </row>
    <row r="10">
      <c r="A10" s="21" t="s">
        <v>10</v>
      </c>
      <c r="C10" s="22">
        <v>60.0</v>
      </c>
      <c r="D10" s="22">
        <v>300.0</v>
      </c>
      <c r="E10" s="22">
        <v>300.0</v>
      </c>
      <c r="F10" s="23">
        <f>C10+E10+D10-597</f>
        <v>63</v>
      </c>
      <c r="G10" s="24">
        <f t="shared" si="1"/>
        <v>660</v>
      </c>
      <c r="H10" s="22">
        <v>597.0</v>
      </c>
      <c r="I10" s="21" t="s">
        <v>10</v>
      </c>
      <c r="J10" s="21"/>
    </row>
    <row r="11">
      <c r="A11" s="21" t="s">
        <v>11</v>
      </c>
      <c r="C11" s="22">
        <v>60.0</v>
      </c>
      <c r="D11" s="22">
        <v>84.0</v>
      </c>
      <c r="E11" s="22">
        <v>208.0</v>
      </c>
      <c r="F11" s="23">
        <f>C11+D11+E11-228</f>
        <v>124</v>
      </c>
      <c r="G11" s="24">
        <f t="shared" si="1"/>
        <v>352</v>
      </c>
      <c r="H11" s="22">
        <v>288.0</v>
      </c>
      <c r="I11" s="21" t="s">
        <v>11</v>
      </c>
      <c r="J11" s="21"/>
    </row>
    <row r="12">
      <c r="A12" s="21" t="s">
        <v>12</v>
      </c>
      <c r="C12" s="22">
        <v>0.0</v>
      </c>
      <c r="D12" s="22">
        <v>350.0</v>
      </c>
      <c r="E12" s="22">
        <v>500.0</v>
      </c>
      <c r="F12" s="23">
        <f>C12+E12+D12-449</f>
        <v>401</v>
      </c>
      <c r="G12" s="24">
        <f t="shared" si="1"/>
        <v>850</v>
      </c>
      <c r="H12" s="22">
        <v>449.0</v>
      </c>
      <c r="I12" s="21" t="s">
        <v>12</v>
      </c>
      <c r="J12" s="21"/>
    </row>
  </sheetData>
  <mergeCells count="12">
    <mergeCell ref="A8:B8"/>
    <mergeCell ref="A9:B9"/>
    <mergeCell ref="A10:B10"/>
    <mergeCell ref="A11:B11"/>
    <mergeCell ref="A12:B12"/>
    <mergeCell ref="D1:E1"/>
    <mergeCell ref="A2:B2"/>
    <mergeCell ref="A3:B3"/>
    <mergeCell ref="A4:B4"/>
    <mergeCell ref="A5:B5"/>
    <mergeCell ref="A6:B6"/>
    <mergeCell ref="A7:B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5.25"/>
    <col customWidth="1" min="3" max="3" width="13.88"/>
  </cols>
  <sheetData>
    <row r="1">
      <c r="A1" s="25" t="s">
        <v>21</v>
      </c>
      <c r="C1" s="25" t="s">
        <v>26</v>
      </c>
      <c r="D1" s="25" t="s">
        <v>27</v>
      </c>
      <c r="E1" s="25" t="s">
        <v>28</v>
      </c>
      <c r="F1" s="25" t="s">
        <v>29</v>
      </c>
    </row>
    <row r="2">
      <c r="A2" s="21" t="s">
        <v>3</v>
      </c>
      <c r="C2" s="26">
        <v>191.0</v>
      </c>
      <c r="D2" s="26">
        <v>201.0</v>
      </c>
      <c r="E2" s="27">
        <f t="shared" ref="E2:E11" si="1">D2-C2</f>
        <v>10</v>
      </c>
      <c r="F2" s="28">
        <f t="shared" ref="F2:F11" si="2">(D2-C2)/C2</f>
        <v>0.05235602094</v>
      </c>
    </row>
    <row r="3">
      <c r="A3" s="21" t="s">
        <v>4</v>
      </c>
      <c r="C3" s="26">
        <v>185.0</v>
      </c>
      <c r="D3" s="26">
        <v>194.0</v>
      </c>
      <c r="E3" s="27">
        <f t="shared" si="1"/>
        <v>9</v>
      </c>
      <c r="F3" s="28">
        <f t="shared" si="2"/>
        <v>0.04864864865</v>
      </c>
    </row>
    <row r="4">
      <c r="A4" s="21" t="s">
        <v>5</v>
      </c>
      <c r="C4" s="26">
        <v>84.0</v>
      </c>
      <c r="D4" s="26">
        <v>88.0</v>
      </c>
      <c r="E4" s="27">
        <f t="shared" si="1"/>
        <v>4</v>
      </c>
      <c r="F4" s="28">
        <f t="shared" si="2"/>
        <v>0.04761904762</v>
      </c>
    </row>
    <row r="5">
      <c r="A5" s="21" t="s">
        <v>6</v>
      </c>
      <c r="C5" s="26">
        <v>149.0</v>
      </c>
      <c r="D5" s="26">
        <v>166.0</v>
      </c>
      <c r="E5" s="27">
        <f t="shared" si="1"/>
        <v>17</v>
      </c>
      <c r="F5" s="28">
        <f t="shared" si="2"/>
        <v>0.1140939597</v>
      </c>
    </row>
    <row r="6">
      <c r="A6" s="21" t="s">
        <v>7</v>
      </c>
      <c r="C6" s="26">
        <v>231.0</v>
      </c>
      <c r="D6" s="26">
        <v>285.0</v>
      </c>
      <c r="E6" s="27">
        <f t="shared" si="1"/>
        <v>54</v>
      </c>
      <c r="F6" s="28">
        <f t="shared" si="2"/>
        <v>0.2337662338</v>
      </c>
    </row>
    <row r="7">
      <c r="A7" s="21" t="s">
        <v>8</v>
      </c>
      <c r="C7" s="26">
        <v>221.0</v>
      </c>
      <c r="D7" s="26">
        <v>245.0</v>
      </c>
      <c r="E7" s="27">
        <f t="shared" si="1"/>
        <v>24</v>
      </c>
      <c r="F7" s="28">
        <f t="shared" si="2"/>
        <v>0.1085972851</v>
      </c>
    </row>
    <row r="8">
      <c r="A8" s="21" t="s">
        <v>9</v>
      </c>
      <c r="C8" s="26">
        <v>165.0</v>
      </c>
      <c r="D8" s="26">
        <v>184.0</v>
      </c>
      <c r="E8" s="27">
        <f t="shared" si="1"/>
        <v>19</v>
      </c>
      <c r="F8" s="28">
        <f t="shared" si="2"/>
        <v>0.1151515152</v>
      </c>
    </row>
    <row r="9">
      <c r="A9" s="21" t="s">
        <v>10</v>
      </c>
      <c r="C9" s="26">
        <v>86.0</v>
      </c>
      <c r="D9" s="26">
        <v>90.0</v>
      </c>
      <c r="E9" s="27">
        <f t="shared" si="1"/>
        <v>4</v>
      </c>
      <c r="F9" s="28">
        <f t="shared" si="2"/>
        <v>0.04651162791</v>
      </c>
    </row>
    <row r="10">
      <c r="A10" s="21" t="s">
        <v>11</v>
      </c>
      <c r="C10" s="26">
        <v>158.0</v>
      </c>
      <c r="D10" s="26">
        <v>205.0</v>
      </c>
      <c r="E10" s="27">
        <f t="shared" si="1"/>
        <v>47</v>
      </c>
      <c r="F10" s="28">
        <f t="shared" si="2"/>
        <v>0.2974683544</v>
      </c>
    </row>
    <row r="11">
      <c r="A11" s="21" t="s">
        <v>12</v>
      </c>
      <c r="C11" s="26">
        <v>204.0</v>
      </c>
      <c r="D11" s="26">
        <v>215.0</v>
      </c>
      <c r="E11" s="27">
        <f t="shared" si="1"/>
        <v>11</v>
      </c>
      <c r="F11" s="28">
        <f t="shared" si="2"/>
        <v>0.05392156863</v>
      </c>
    </row>
    <row r="12">
      <c r="A12" s="29"/>
    </row>
    <row r="15">
      <c r="A15" s="30" t="s">
        <v>21</v>
      </c>
      <c r="C15" s="30" t="s">
        <v>30</v>
      </c>
      <c r="D15" s="30" t="s">
        <v>14</v>
      </c>
      <c r="E15" s="30" t="s">
        <v>28</v>
      </c>
      <c r="F15" s="30" t="s">
        <v>31</v>
      </c>
      <c r="G15" s="30" t="s">
        <v>32</v>
      </c>
      <c r="H15" s="31" t="s">
        <v>33</v>
      </c>
    </row>
    <row r="16">
      <c r="A16" s="32" t="s">
        <v>7</v>
      </c>
      <c r="C16" s="19">
        <v>185262.0</v>
      </c>
      <c r="D16" s="19">
        <v>228570.0</v>
      </c>
      <c r="E16" s="27">
        <v>43308.0</v>
      </c>
      <c r="F16" s="28">
        <v>0.2600768676435263</v>
      </c>
      <c r="G16" s="28">
        <f>F16</f>
        <v>0.2600768676</v>
      </c>
      <c r="H16" s="33">
        <f t="shared" ref="H16:H25" si="3">D16/$D$26</f>
        <v>0.1409498156</v>
      </c>
    </row>
    <row r="17">
      <c r="A17" s="32" t="s">
        <v>6</v>
      </c>
      <c r="C17" s="19">
        <v>300086.0</v>
      </c>
      <c r="D17" s="19">
        <v>334324.0</v>
      </c>
      <c r="E17" s="27">
        <v>34238.0</v>
      </c>
      <c r="F17" s="28">
        <v>0.20560893586355994</v>
      </c>
      <c r="G17" s="28">
        <f t="shared" ref="G17:G25" si="4">G16+F17</f>
        <v>0.4656858035</v>
      </c>
      <c r="H17" s="33">
        <f t="shared" si="3"/>
        <v>0.206164003</v>
      </c>
    </row>
    <row r="18">
      <c r="A18" s="32" t="s">
        <v>9</v>
      </c>
      <c r="C18" s="19">
        <v>262350.0</v>
      </c>
      <c r="D18" s="19">
        <v>292560.0</v>
      </c>
      <c r="E18" s="27">
        <v>30210.0</v>
      </c>
      <c r="F18" s="28">
        <v>0.1814196492913764</v>
      </c>
      <c r="G18" s="28">
        <f t="shared" si="4"/>
        <v>0.6471054528</v>
      </c>
      <c r="H18" s="33">
        <f t="shared" si="3"/>
        <v>0.1804098441</v>
      </c>
    </row>
    <row r="19">
      <c r="A19" s="32" t="s">
        <v>8</v>
      </c>
      <c r="C19" s="19">
        <v>196248.0</v>
      </c>
      <c r="D19" s="19">
        <v>217560.0</v>
      </c>
      <c r="E19" s="27">
        <v>21312.0</v>
      </c>
      <c r="F19" s="28">
        <v>0.12798462647129474</v>
      </c>
      <c r="G19" s="28">
        <f t="shared" si="4"/>
        <v>0.7750900793</v>
      </c>
      <c r="H19" s="33">
        <f t="shared" si="3"/>
        <v>0.1341603968</v>
      </c>
    </row>
    <row r="20">
      <c r="A20" s="32" t="s">
        <v>11</v>
      </c>
      <c r="C20" s="19">
        <v>45504.0</v>
      </c>
      <c r="D20" s="19">
        <v>59040.0</v>
      </c>
      <c r="E20" s="27">
        <v>13536.0</v>
      </c>
      <c r="F20" s="28">
        <v>0.08128753302906558</v>
      </c>
      <c r="G20" s="28">
        <f t="shared" si="4"/>
        <v>0.8563776123</v>
      </c>
      <c r="H20" s="33">
        <f t="shared" si="3"/>
        <v>0.03640756493</v>
      </c>
    </row>
    <row r="21">
      <c r="A21" s="32" t="s">
        <v>3</v>
      </c>
      <c r="C21" s="19">
        <v>244480.0</v>
      </c>
      <c r="D21" s="19">
        <v>257280.0</v>
      </c>
      <c r="E21" s="27">
        <v>12800.0</v>
      </c>
      <c r="F21" s="28">
        <v>0.07686764352630315</v>
      </c>
      <c r="G21" s="28">
        <f t="shared" si="4"/>
        <v>0.9332452558</v>
      </c>
      <c r="H21" s="33">
        <f t="shared" si="3"/>
        <v>0.1586541041</v>
      </c>
    </row>
    <row r="22">
      <c r="A22" s="32" t="s">
        <v>12</v>
      </c>
      <c r="C22" s="19">
        <v>91596.0</v>
      </c>
      <c r="D22" s="19">
        <v>96535.0</v>
      </c>
      <c r="E22" s="27">
        <v>4939.0</v>
      </c>
      <c r="F22" s="28">
        <v>0.02966010088878213</v>
      </c>
      <c r="G22" s="28">
        <f t="shared" si="4"/>
        <v>0.9629053567</v>
      </c>
      <c r="H22" s="33">
        <f t="shared" si="3"/>
        <v>0.05952920529</v>
      </c>
    </row>
    <row r="23">
      <c r="A23" s="32" t="s">
        <v>4</v>
      </c>
      <c r="C23" s="19">
        <v>60865.0</v>
      </c>
      <c r="D23" s="19">
        <v>63826.0</v>
      </c>
      <c r="E23" s="27">
        <v>2961.0</v>
      </c>
      <c r="F23" s="28">
        <v>0.017781647850108096</v>
      </c>
      <c r="G23" s="28">
        <f t="shared" si="4"/>
        <v>0.9806870046</v>
      </c>
      <c r="H23" s="33">
        <f t="shared" si="3"/>
        <v>0.03935889633</v>
      </c>
    </row>
    <row r="24">
      <c r="A24" s="32" t="s">
        <v>10</v>
      </c>
      <c r="C24" s="19">
        <v>51342.0</v>
      </c>
      <c r="D24" s="19">
        <v>53730.0</v>
      </c>
      <c r="E24" s="27">
        <v>2388.0</v>
      </c>
      <c r="F24" s="28">
        <v>0.01434061974537593</v>
      </c>
      <c r="G24" s="28">
        <f t="shared" si="4"/>
        <v>0.9950276243</v>
      </c>
      <c r="H24" s="33">
        <f t="shared" si="3"/>
        <v>0.03313310406</v>
      </c>
    </row>
    <row r="25">
      <c r="A25" s="32" t="s">
        <v>5</v>
      </c>
      <c r="C25" s="19">
        <v>17388.0</v>
      </c>
      <c r="D25" s="19">
        <v>18216.0</v>
      </c>
      <c r="E25" s="27">
        <v>828.0</v>
      </c>
      <c r="F25" s="28">
        <v>0.004972375690607734</v>
      </c>
      <c r="G25" s="28">
        <f t="shared" si="4"/>
        <v>1</v>
      </c>
      <c r="H25" s="33">
        <f t="shared" si="3"/>
        <v>0.01123306576</v>
      </c>
    </row>
    <row r="26">
      <c r="A26" s="32" t="s">
        <v>34</v>
      </c>
      <c r="C26" s="34">
        <v>1455121.0</v>
      </c>
      <c r="D26" s="34">
        <v>1621641.0</v>
      </c>
      <c r="E26" s="34">
        <v>166520.0</v>
      </c>
    </row>
    <row r="28">
      <c r="A28" s="21" t="s">
        <v>35</v>
      </c>
      <c r="B28" s="31" t="s">
        <v>33</v>
      </c>
      <c r="C28" s="35" t="s">
        <v>36</v>
      </c>
      <c r="D28" s="36"/>
      <c r="E28" s="36"/>
    </row>
    <row r="29">
      <c r="A29" s="37" t="s">
        <v>6</v>
      </c>
      <c r="B29" s="33">
        <v>0.2062</v>
      </c>
      <c r="C29" s="33">
        <v>0.2062</v>
      </c>
      <c r="D29" s="38"/>
      <c r="E29" s="38"/>
    </row>
    <row r="30">
      <c r="A30" s="37" t="s">
        <v>9</v>
      </c>
      <c r="B30" s="33">
        <v>0.1804</v>
      </c>
      <c r="C30" s="33">
        <v>0.3866</v>
      </c>
      <c r="D30" s="38"/>
      <c r="E30" s="38"/>
    </row>
    <row r="31">
      <c r="A31" s="37" t="s">
        <v>3</v>
      </c>
      <c r="B31" s="33">
        <v>0.1587</v>
      </c>
      <c r="C31" s="33">
        <v>0.5453</v>
      </c>
      <c r="D31" s="38"/>
      <c r="E31" s="38"/>
    </row>
    <row r="32">
      <c r="A32" s="37" t="s">
        <v>7</v>
      </c>
      <c r="B32" s="33">
        <v>0.1409</v>
      </c>
      <c r="C32" s="33">
        <v>0.6862</v>
      </c>
      <c r="D32" s="38"/>
      <c r="E32" s="38"/>
    </row>
    <row r="33">
      <c r="A33" s="37" t="s">
        <v>8</v>
      </c>
      <c r="B33" s="33">
        <v>0.1342</v>
      </c>
      <c r="C33" s="33">
        <v>0.8204</v>
      </c>
      <c r="D33" s="38"/>
      <c r="E33" s="38"/>
    </row>
    <row r="34">
      <c r="A34" s="37" t="s">
        <v>12</v>
      </c>
      <c r="B34" s="33">
        <v>0.0595</v>
      </c>
      <c r="C34" s="33">
        <v>0.8799</v>
      </c>
      <c r="D34" s="38"/>
      <c r="E34" s="38"/>
    </row>
    <row r="35">
      <c r="A35" s="37" t="s">
        <v>4</v>
      </c>
      <c r="B35" s="33">
        <v>0.0394</v>
      </c>
      <c r="C35" s="33">
        <v>0.9193</v>
      </c>
      <c r="D35" s="38"/>
      <c r="E35" s="38"/>
    </row>
    <row r="36">
      <c r="A36" s="37" t="s">
        <v>11</v>
      </c>
      <c r="B36" s="33">
        <v>0.0364</v>
      </c>
      <c r="C36" s="33">
        <v>0.9557</v>
      </c>
      <c r="D36" s="38"/>
      <c r="E36" s="38"/>
    </row>
    <row r="37">
      <c r="A37" s="37" t="s">
        <v>10</v>
      </c>
      <c r="B37" s="33">
        <v>0.0331</v>
      </c>
      <c r="C37" s="33">
        <v>0.9888</v>
      </c>
      <c r="D37" s="38"/>
      <c r="E37" s="38"/>
    </row>
    <row r="38">
      <c r="A38" s="37" t="s">
        <v>5</v>
      </c>
      <c r="B38" s="33">
        <v>0.0112</v>
      </c>
      <c r="C38" s="33">
        <v>1.0</v>
      </c>
      <c r="D38" s="38"/>
      <c r="E38" s="38"/>
    </row>
    <row r="39">
      <c r="A39" s="39"/>
      <c r="C39" s="40"/>
      <c r="D39" s="38"/>
      <c r="E39" s="41"/>
      <c r="F39" s="41"/>
    </row>
    <row r="40">
      <c r="A40" s="31" t="s">
        <v>37</v>
      </c>
      <c r="B40" s="31" t="s">
        <v>38</v>
      </c>
      <c r="C40" s="31" t="s">
        <v>39</v>
      </c>
    </row>
    <row r="41">
      <c r="A41" s="42" t="s">
        <v>6</v>
      </c>
      <c r="B41" s="42" t="s">
        <v>12</v>
      </c>
      <c r="C41" s="42" t="s">
        <v>10</v>
      </c>
    </row>
    <row r="42">
      <c r="A42" s="42" t="s">
        <v>9</v>
      </c>
      <c r="B42" s="42" t="s">
        <v>4</v>
      </c>
      <c r="C42" s="42" t="s">
        <v>5</v>
      </c>
    </row>
    <row r="43">
      <c r="A43" s="42" t="s">
        <v>3</v>
      </c>
      <c r="B43" s="42" t="s">
        <v>11</v>
      </c>
      <c r="C43" s="43"/>
    </row>
    <row r="44">
      <c r="A44" s="42" t="s">
        <v>7</v>
      </c>
      <c r="B44" s="43"/>
      <c r="C44" s="43"/>
    </row>
    <row r="45">
      <c r="A45" s="42" t="s">
        <v>8</v>
      </c>
      <c r="B45" s="43"/>
      <c r="C45" s="43"/>
    </row>
  </sheetData>
  <mergeCells count="25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5:B15"/>
    <mergeCell ref="A16:B16"/>
    <mergeCell ref="A24:B24"/>
    <mergeCell ref="A25:B25"/>
    <mergeCell ref="A26:B26"/>
    <mergeCell ref="A39:B39"/>
    <mergeCell ref="A17:B17"/>
    <mergeCell ref="A18:B18"/>
    <mergeCell ref="A19:B19"/>
    <mergeCell ref="A20:B20"/>
    <mergeCell ref="A21:B21"/>
    <mergeCell ref="A22:B22"/>
    <mergeCell ref="A23:B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44" t="s">
        <v>40</v>
      </c>
      <c r="D1" s="44" t="s">
        <v>41</v>
      </c>
    </row>
    <row r="2">
      <c r="A2" s="45"/>
      <c r="B2" s="44" t="s">
        <v>42</v>
      </c>
      <c r="D2" s="45"/>
      <c r="E2" s="44" t="s">
        <v>42</v>
      </c>
    </row>
    <row r="3">
      <c r="A3" s="4" t="s">
        <v>43</v>
      </c>
      <c r="B3" s="9">
        <v>2300.0</v>
      </c>
      <c r="D3" s="4" t="s">
        <v>44</v>
      </c>
      <c r="E3" s="9">
        <v>6000.0</v>
      </c>
    </row>
    <row r="4">
      <c r="A4" s="46" t="s">
        <v>41</v>
      </c>
      <c r="B4" s="47">
        <v>64000.0</v>
      </c>
      <c r="D4" s="46" t="s">
        <v>45</v>
      </c>
      <c r="E4" s="47">
        <v>7000.0</v>
      </c>
    </row>
    <row r="5">
      <c r="A5" s="4" t="s">
        <v>46</v>
      </c>
      <c r="B5" s="9">
        <v>3600.0</v>
      </c>
      <c r="D5" s="4" t="s">
        <v>47</v>
      </c>
      <c r="E5" s="9">
        <v>6000.0</v>
      </c>
    </row>
    <row r="6">
      <c r="A6" s="48" t="s">
        <v>48</v>
      </c>
      <c r="B6" s="49">
        <f>SUM(B3:B5)</f>
        <v>69900</v>
      </c>
      <c r="D6" s="46" t="s">
        <v>49</v>
      </c>
      <c r="E6" s="47">
        <v>45000.0</v>
      </c>
    </row>
    <row r="7">
      <c r="A7" s="50"/>
      <c r="B7" s="51"/>
      <c r="D7" s="52" t="s">
        <v>50</v>
      </c>
      <c r="E7" s="53">
        <f>SUM(E3:E6)</f>
        <v>64000</v>
      </c>
    </row>
    <row r="10">
      <c r="A10" s="54" t="s">
        <v>51</v>
      </c>
      <c r="B10" s="55"/>
      <c r="C10" s="55"/>
      <c r="D10" s="55"/>
      <c r="E10" s="56"/>
      <c r="F10" s="57"/>
    </row>
    <row r="11">
      <c r="A11" s="58" t="s">
        <v>52</v>
      </c>
      <c r="B11" s="58" t="s">
        <v>53</v>
      </c>
      <c r="C11" s="58" t="s">
        <v>54</v>
      </c>
    </row>
    <row r="12">
      <c r="A12" s="59" t="s">
        <v>14</v>
      </c>
      <c r="B12" s="60">
        <v>1621641.0</v>
      </c>
      <c r="C12" s="61" t="s">
        <v>55</v>
      </c>
    </row>
    <row r="13">
      <c r="A13" s="59" t="s">
        <v>56</v>
      </c>
      <c r="B13" s="60">
        <v>166520.0</v>
      </c>
      <c r="C13" s="62"/>
    </row>
    <row r="14">
      <c r="A14" s="63" t="s">
        <v>57</v>
      </c>
      <c r="B14" s="64">
        <v>69900.0</v>
      </c>
      <c r="C14" s="65" t="s">
        <v>58</v>
      </c>
    </row>
    <row r="15">
      <c r="A15" s="59" t="s">
        <v>59</v>
      </c>
      <c r="B15" s="66">
        <f>B13-B14</f>
        <v>96620</v>
      </c>
      <c r="C15" s="62"/>
    </row>
    <row r="16">
      <c r="A16" s="63" t="s">
        <v>60</v>
      </c>
      <c r="B16" s="67">
        <f>B13/B12</f>
        <v>0.1026861062</v>
      </c>
      <c r="C16" s="68"/>
    </row>
    <row r="17">
      <c r="A17" s="59" t="s">
        <v>61</v>
      </c>
      <c r="B17" s="69">
        <f>B15/B12</f>
        <v>0.05958162133</v>
      </c>
      <c r="C17" s="61" t="s">
        <v>62</v>
      </c>
    </row>
  </sheetData>
  <mergeCells count="10">
    <mergeCell ref="C15:E15"/>
    <mergeCell ref="C16:E16"/>
    <mergeCell ref="C17:E17"/>
    <mergeCell ref="A1:B1"/>
    <mergeCell ref="D1:E1"/>
    <mergeCell ref="A10:E10"/>
    <mergeCell ref="C11:E11"/>
    <mergeCell ref="C12:E12"/>
    <mergeCell ref="C13:E13"/>
    <mergeCell ref="C14:E14"/>
  </mergeCells>
  <drawing r:id="rId1"/>
</worksheet>
</file>